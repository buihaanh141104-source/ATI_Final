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Validation" sheetId="3" state="visible" r:id="rId5"/>
    <sheet name="Thresholds" sheetId="4" state="visible" r:id="rId6"/>
    <sheet name="vs Paper" sheetId="5" state="visible" r:id="rId7"/>
    <sheet name="Per-label F1" sheetId="6" state="visible" r:id="rId8"/>
    <sheet name="Per-label detail" sheetId="7" state="visible" r:id="rId9"/>
    <sheet name="Q1 Best-Worst" sheetId="8" state="visible" r:id="rId10"/>
    <sheet name="Q2 Frequency" sheetId="9" state="visible" r:id="rId11"/>
    <sheet name="Q3 Dependencies" sheetId="10" state="visible" r:id="rId12"/>
    <sheet name="Q4 Text style" sheetId="11" state="visible" r:id="rId13"/>
    <sheet name="Q5 Thresholds" sheetId="12" state="visible" r:id="rId14"/>
    <sheet name="Tier &amp; |Y|" sheetId="13" state="visible" r:id="rId15"/>
    <sheet name="Errors" sheetId="14" state="visible" r:id="rId16"/>
    <sheet name="EDA" sheetId="15" state="visible" r:id="rId17"/>
    <sheet name="Split audit" sheetId="16" state="visible" r:id="rId18"/>
    <sheet name="Ensemble (val)" sheetId="17" state="visible" r:id="rId19"/>
    <sheet name="Hyperparameters" sheetId="18" state="visible" r:id="rId20"/>
    <sheet name="Environment" sheetId="19" state="visible" r:id="rId21"/>
  </sheets>
  <definedNames>
    <definedName function="false" hidden="true" localSheetId="17" name="_xlnm._FilterDatabase" vbProcedure="false">Hyperparameters!$A$4:$C$163</definedName>
    <definedName function="false" hidden="true" localSheetId="6" name="_xlnm._FilterDatabase" vbProcedure="false">'Per-label detail'!$A$4:$I$172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<sst xmlns="http://schemas.openxmlformats.org/spreadsheetml/2006/main" count="2777" uniqueCount="1056">
  <si>
    <t xml:space="preserve">ViGoEmotions 2026 - Midterm results workbook</t>
  </si>
  <si>
    <t xml:space="preserve">Built from results/tables/*.csv produced by `python -m vigo analyze` (no hand-typed numbers).</t>
  </si>
  <si>
    <t xml:space="preserve">Task</t>
  </si>
  <si>
    <t xml:space="preserve">Multi-label emotion recognition, 28 labels (27 emotions + neutral), 20,664 Vietnamese comments</t>
  </si>
  <si>
    <t xml:space="preserve">Split</t>
  </si>
  <si>
    <t xml:space="preserve">Official release split: train 16,531 / val 2,066 / test 2,067 (ids in splits/official/)</t>
  </si>
  <si>
    <t xml:space="preserve">Decoding</t>
  </si>
  <si>
    <t xml:space="preserve">Main tables use tau = 0.5; global / per-label thresholds are fitted on VALIDATION only, then frozen</t>
  </si>
  <si>
    <t xml:space="preserve">Seed</t>
  </si>
  <si>
    <t xml:space="preserve">42 (Python, NumPy, PyTorch)</t>
  </si>
  <si>
    <t xml:space="preserve">Hardware</t>
  </si>
  <si>
    <t xml:space="preserve">Apple M1 Pro 32 GB (MPS; BiLSTM on CPU) - see sheet 'Environment'</t>
  </si>
  <si>
    <t xml:space="preserve">Colour code</t>
  </si>
  <si>
    <t xml:space="preserve">Blue rows = required PhoBERT model; orange rows = ensemble; blue text = published (paper) reference value</t>
  </si>
  <si>
    <t xml:space="preserve">Licence</t>
  </si>
  <si>
    <t xml:space="preserve">No raw comments are included (ViGoEmotions licence forbids redistribution)</t>
  </si>
  <si>
    <t xml:space="preserve">Sheet</t>
  </si>
  <si>
    <t xml:space="preserve">Content</t>
  </si>
  <si>
    <t xml:space="preserve">Summary</t>
  </si>
  <si>
    <t xml:space="preserve">Test results at tau = 0.5, all required metrics, params and training time</t>
  </si>
  <si>
    <t xml:space="preserve">Validation</t>
  </si>
  <si>
    <t xml:space="preserve">Validation results at tau = 0.5</t>
  </si>
  <si>
    <t xml:space="preserve">Thresholds</t>
  </si>
  <si>
    <t xml:space="preserve">Fixed / global / per-label decoding: val and test Macro-F1, val-test gap</t>
  </si>
  <si>
    <t xml:space="preserve">vs Paper</t>
  </si>
  <si>
    <t xml:space="preserve">Comparison with the published ViGoEmotions baselines (same split)</t>
  </si>
  <si>
    <t xml:space="preserve">Per-label F1</t>
  </si>
  <si>
    <t xml:space="preserve">Test F1 per label for every model, with training frequency, tier and best model (formula)</t>
  </si>
  <si>
    <t xml:space="preserve">Per-label detail</t>
  </si>
  <si>
    <t xml:space="preserve">Precision / recall / F1 / support / AP per label and model (filterable)</t>
  </si>
  <si>
    <t xml:space="preserve">Q1 Best-Worst</t>
  </si>
  <si>
    <t xml:space="preserve">Highest and lowest per-label F1 per required model</t>
  </si>
  <si>
    <t xml:space="preserve">Q2 Frequency</t>
  </si>
  <si>
    <t xml:space="preserve">Correlation of per-label F1 with training frequency; tier means</t>
  </si>
  <si>
    <t xml:space="preserve">Q3 Dependencies</t>
  </si>
  <si>
    <t xml:space="preserve">Top training pairs: true vs predicted co-occurrence on test; global preservation</t>
  </si>
  <si>
    <t xml:space="preserve">Q4 Text style</t>
  </si>
  <si>
    <t xml:space="preserve">Macro/Micro-F1 by text-style subset; PhoBERT - BiLSTM delta (formula) with bootstrap CI</t>
  </si>
  <si>
    <t xml:space="preserve">Q5 Thresholds</t>
  </si>
  <si>
    <t xml:space="preserve">Threshold sensitivity summary, per-label optimal thresholds and the full validation sweep</t>
  </si>
  <si>
    <t xml:space="preserve">Tier &amp; |Y|</t>
  </si>
  <si>
    <t xml:space="preserve">Macro-F1 by head/mid/tail tier and Micro-F1 by label cardinality, per decoding strategy</t>
  </si>
  <si>
    <t xml:space="preserve">Errors</t>
  </si>
  <si>
    <t xml:space="preserve">PhoBERT error analysis: by label, confusion pairs, by bucket, audited cases (ids only)</t>
  </si>
  <si>
    <t xml:space="preserve">EDA</t>
  </si>
  <si>
    <t xml:space="preserve">Dataset summary, label inventory, cardinality, length, informal-text audit</t>
  </si>
  <si>
    <t xml:space="preserve">Split audit</t>
  </si>
  <si>
    <t xml:space="preserve">Stratification audit of official / random / iterative splits and per-label coverage</t>
  </si>
  <si>
    <t xml:space="preserve">Ensemble (val)</t>
  </si>
  <si>
    <t xml:space="preserve">Validation-only comparison of ensemble compositions</t>
  </si>
  <si>
    <t xml:space="preserve">Hyperparameters</t>
  </si>
  <si>
    <t xml:space="preserve">Resolved configuration of every run</t>
  </si>
  <si>
    <t xml:space="preserve">Environment</t>
  </si>
  <si>
    <t xml:space="preserve">Hardware, package versions, checkpoint revisions</t>
  </si>
  <si>
    <t xml:space="preserve">Test results at tau = 0.5 (all required metrics)</t>
  </si>
  <si>
    <t xml:space="preserve">Source: results/tables/main_results_test.csv. Hamming loss: lower is better.</t>
  </si>
  <si>
    <t xml:space="preserve">Model</t>
  </si>
  <si>
    <t xml:space="preserve">Macro-F1</t>
  </si>
  <si>
    <t xml:space="preserve">Micro-F1</t>
  </si>
  <si>
    <t xml:space="preserve">Weighted-F1</t>
  </si>
  <si>
    <t xml:space="preserve">Samples-F1</t>
  </si>
  <si>
    <t xml:space="preserve">Macro-F1 (27 emotions)</t>
  </si>
  <si>
    <t xml:space="preserve">Hamming loss</t>
  </si>
  <si>
    <t xml:space="preserve">LRAP</t>
  </si>
  <si>
    <t xml:space="preserve">mAP (macro)</t>
  </si>
  <si>
    <t xml:space="preserve">Subset accuracy</t>
  </si>
  <si>
    <t xml:space="preserve">Macro precision</t>
  </si>
  <si>
    <t xml:space="preserve">Macro recall</t>
  </si>
  <si>
    <t xml:space="preserve">Parameters</t>
  </si>
  <si>
    <t xml:space="preserve">Device</t>
  </si>
  <si>
    <t xml:space="preserve">Train time (min)</t>
  </si>
  <si>
    <t xml:space="preserve">Δ Macro-F1 vs published best</t>
  </si>
  <si>
    <t xml:space="preserve">TF-IDF + OvR LR</t>
  </si>
  <si>
    <t xml:space="preserve">cpu</t>
  </si>
  <si>
    <t xml:space="preserve">BiLSTM</t>
  </si>
  <si>
    <t xml:space="preserve">PhoBERT-base-v2</t>
  </si>
  <si>
    <t xml:space="preserve">mps</t>
  </si>
  <si>
    <t xml:space="preserve">ViSoBERT</t>
  </si>
  <si>
    <t xml:space="preserve">ViSoBERT-14GB</t>
  </si>
  <si>
    <t xml:space="preserve">Ensemble (3)</t>
  </si>
  <si>
    <t xml:space="preserve">Published best Macro-F1 (ViSoBERT, Hung et al. 2026, tau = 0.5)</t>
  </si>
  <si>
    <t xml:space="preserve">Source: official ViGoEmotions notebooks (results/tables/comparison_with_paper.csv)</t>
  </si>
  <si>
    <t xml:space="preserve">Source: results/tables/main_results_val.csv</t>
  </si>
  <si>
    <t xml:space="preserve">model</t>
  </si>
  <si>
    <t xml:space="preserve">macro_f1</t>
  </si>
  <si>
    <t xml:space="preserve">micro_f1</t>
  </si>
  <si>
    <t xml:space="preserve">weighted_f1</t>
  </si>
  <si>
    <t xml:space="preserve">hamming_loss</t>
  </si>
  <si>
    <t xml:space="preserve">lrap</t>
  </si>
  <si>
    <t xml:space="preserve">map_macro</t>
  </si>
  <si>
    <t xml:space="preserve">subset_accuracy</t>
  </si>
  <si>
    <t xml:space="preserve">Decoding strategies (thresholds fitted on validation, frozen, applied once to test)</t>
  </si>
  <si>
    <t xml:space="preserve">Source: results/tables/threshold_strategies.csv. Gap = validation Macro-F1 - test Macro-F1 (threshold over-fitting).</t>
  </si>
  <si>
    <t xml:space="preserve">strategy</t>
  </si>
  <si>
    <t xml:space="preserve">tau</t>
  </si>
  <si>
    <t xml:space="preserve">val_macro_f1</t>
  </si>
  <si>
    <t xml:space="preserve">test_macro_f1</t>
  </si>
  <si>
    <t xml:space="preserve">val_micro_f1</t>
  </si>
  <si>
    <t xml:space="preserve">test_micro_f1</t>
  </si>
  <si>
    <t xml:space="preserve">test_hamming_loss</t>
  </si>
  <si>
    <t xml:space="preserve">gap_macro_f1(val-test)</t>
  </si>
  <si>
    <t xml:space="preserve">fixed</t>
  </si>
  <si>
    <t xml:space="preserve">0.50</t>
  </si>
  <si>
    <t xml:space="preserve">global</t>
  </si>
  <si>
    <t xml:space="preserve">0.60</t>
  </si>
  <si>
    <t xml:space="preserve">per_label</t>
  </si>
  <si>
    <t xml:space="preserve">per-label</t>
  </si>
  <si>
    <t xml:space="preserve">0.31</t>
  </si>
  <si>
    <t xml:space="preserve">0.29</t>
  </si>
  <si>
    <t xml:space="preserve">0.27</t>
  </si>
  <si>
    <t xml:space="preserve">0.38</t>
  </si>
  <si>
    <t xml:space="preserve">0.32</t>
  </si>
  <si>
    <t xml:space="preserve">Comparison with the published baselines (same official split)</t>
  </si>
  <si>
    <t xml:space="preserve">Paper rows: Hung et al. (EACL 2026) official notebooks, tau = 0.5, pos-weighted BCE. Δ is an Excel formula.</t>
  </si>
  <si>
    <t xml:space="preserve">decoding</t>
  </si>
  <si>
    <t xml:space="preserve">source</t>
  </si>
  <si>
    <t xml:space="preserve">Δ Macro-F1 vs paper best</t>
  </si>
  <si>
    <t xml:space="preserve">PhoBERT-base-v2 (paper, emoji kept)</t>
  </si>
  <si>
    <t xml:space="preserve">tau=0.5, pos_weight BCE</t>
  </si>
  <si>
    <t xml:space="preserve">Hung et al. (EACL 2026) official notebooks</t>
  </si>
  <si>
    <t xml:space="preserve">PhoBERT-base-v2 (paper, emoji-&gt;text)</t>
  </si>
  <si>
    <t xml:space="preserve">CafeBERT (paper)</t>
  </si>
  <si>
    <t xml:space="preserve">ViSoBERT (paper, best)</t>
  </si>
  <si>
    <t xml:space="preserve">TF-IDF + OvR LR (ours)</t>
  </si>
  <si>
    <t xml:space="preserve">tau=0.5</t>
  </si>
  <si>
    <t xml:space="preserve">this work</t>
  </si>
  <si>
    <t xml:space="preserve">per-label tau (val-tuned)</t>
  </si>
  <si>
    <t xml:space="preserve">BiLSTM (ours)</t>
  </si>
  <si>
    <t xml:space="preserve">PhoBERT-base-v2 (ours)</t>
  </si>
  <si>
    <t xml:space="preserve">ViSoBERT (ours)</t>
  </si>
  <si>
    <t xml:space="preserve">ViSoBERT-14GB (ours)</t>
  </si>
  <si>
    <t xml:space="preserve">Ensemble (3) (ours)</t>
  </si>
  <si>
    <t xml:space="preserve">Test F1 per label at tau = 0.5 (28 labels)</t>
  </si>
  <si>
    <t xml:space="preserve">Source: results/tables/per_label_f1.csv. 'Best model' is a formula (INDEX/MATCH of the row maximum).</t>
  </si>
  <si>
    <t xml:space="preserve">label</t>
  </si>
  <si>
    <t xml:space="preserve">train_frequency</t>
  </si>
  <si>
    <t xml:space="preserve">tier</t>
  </si>
  <si>
    <t xml:space="preserve">test_support</t>
  </si>
  <si>
    <t xml:space="preserve">Best model</t>
  </si>
  <si>
    <t xml:space="preserve">amusement</t>
  </si>
  <si>
    <t xml:space="preserve">head</t>
  </si>
  <si>
    <t xml:space="preserve">excitement</t>
  </si>
  <si>
    <t xml:space="preserve">mid</t>
  </si>
  <si>
    <t xml:space="preserve">joy</t>
  </si>
  <si>
    <t xml:space="preserve">love</t>
  </si>
  <si>
    <t xml:space="preserve">desire</t>
  </si>
  <si>
    <t xml:space="preserve">tail</t>
  </si>
  <si>
    <t xml:space="preserve">optimism</t>
  </si>
  <si>
    <t xml:space="preserve">caring</t>
  </si>
  <si>
    <t xml:space="preserve">pride</t>
  </si>
  <si>
    <t xml:space="preserve">admiration</t>
  </si>
  <si>
    <t xml:space="preserve">gratitude</t>
  </si>
  <si>
    <t xml:space="preserve">relief</t>
  </si>
  <si>
    <t xml:space="preserve">approval</t>
  </si>
  <si>
    <t xml:space="preserve">realization</t>
  </si>
  <si>
    <t xml:space="preserve">surprise</t>
  </si>
  <si>
    <t xml:space="preserve">curiosity</t>
  </si>
  <si>
    <t xml:space="preserve">confusion</t>
  </si>
  <si>
    <t xml:space="preserve">fear</t>
  </si>
  <si>
    <t xml:space="preserve">nervousness</t>
  </si>
  <si>
    <t xml:space="preserve">remorse</t>
  </si>
  <si>
    <t xml:space="preserve">embarrassment</t>
  </si>
  <si>
    <t xml:space="preserve">disappointment</t>
  </si>
  <si>
    <t xml:space="preserve">sadness</t>
  </si>
  <si>
    <t xml:space="preserve">grief</t>
  </si>
  <si>
    <t xml:space="preserve">disgust</t>
  </si>
  <si>
    <t xml:space="preserve">anger</t>
  </si>
  <si>
    <t xml:space="preserve">annoyance</t>
  </si>
  <si>
    <t xml:space="preserve">disapproval</t>
  </si>
  <si>
    <t xml:space="preserve">neutral</t>
  </si>
  <si>
    <t xml:space="preserve">Macro average (formula)</t>
  </si>
  <si>
    <t xml:space="preserve">Per-label precision / recall / F1 / support / AP (test, tau = 0.5)</t>
  </si>
  <si>
    <t xml:space="preserve">Source: results/tables/per_label_report_long.csv. Use the filter buttons.</t>
  </si>
  <si>
    <t xml:space="preserve">precision</t>
  </si>
  <si>
    <t xml:space="preserve">recall</t>
  </si>
  <si>
    <t xml:space="preserve">f1</t>
  </si>
  <si>
    <t xml:space="preserve">support</t>
  </si>
  <si>
    <t xml:space="preserve">n_pred</t>
  </si>
  <si>
    <t xml:space="preserve">ap</t>
  </si>
  <si>
    <t xml:space="preserve">threshold</t>
  </si>
  <si>
    <t xml:space="preserve">Q1 - Highest and lowest per-label F1 (test, tau = 0.5)</t>
  </si>
  <si>
    <t xml:space="preserve">Source: results/tables/q1_best_worst_labels.csv</t>
  </si>
  <si>
    <t xml:space="preserve">position</t>
  </si>
  <si>
    <t xml:space="preserve">rank</t>
  </si>
  <si>
    <t xml:space="preserve">top-5</t>
  </si>
  <si>
    <t xml:space="preserve">bottom-5</t>
  </si>
  <si>
    <t xml:space="preserve">Q2 - Per-label F1 vs training label frequency</t>
  </si>
  <si>
    <t xml:space="preserve">Source: results/tables/q2_frequency_correlation.csv (28 labels; correlation is not causation)</t>
  </si>
  <si>
    <t xml:space="preserve">pearson_r</t>
  </si>
  <si>
    <t xml:space="preserve">pearson_p</t>
  </si>
  <si>
    <t xml:space="preserve">pearson_r_logfreq</t>
  </si>
  <si>
    <t xml:space="preserve">pearson_p_logfreq</t>
  </si>
  <si>
    <t xml:space="preserve">spearman_rho</t>
  </si>
  <si>
    <t xml:space="preserve">spearman_p</t>
  </si>
  <si>
    <t xml:space="preserve">mean_f1_head</t>
  </si>
  <si>
    <t xml:space="preserve">mean_f1_mid</t>
  </si>
  <si>
    <t xml:space="preserve">mean_f1_tail</t>
  </si>
  <si>
    <t xml:space="preserve">Q3 - Label dependency preservation on test (tau = 0.5)</t>
  </si>
  <si>
    <t xml:space="preserve">Top pairs chosen from TRAINING labels. Sources: q3_dependency_preservation.csv, q3_top_pairs_true_vs_pred.csv</t>
  </si>
  <si>
    <t xml:space="preserve">Global preservation over all 378 label pairs</t>
  </si>
  <si>
    <t xml:space="preserve">pearson(true_cooc, pred_cooc)</t>
  </si>
  <si>
    <t xml:space="preserve">pearson(true_phi, pred_phi)</t>
  </si>
  <si>
    <t xml:space="preserve">spearman(true_phi, pred_phi)</t>
  </si>
  <si>
    <t xml:space="preserve">total_true_pairs</t>
  </si>
  <si>
    <t xml:space="preserve">total_pred_pairs</t>
  </si>
  <si>
    <t xml:space="preserve">mean_true_cardinality</t>
  </si>
  <si>
    <t xml:space="preserve">mean_pred_cardinality</t>
  </si>
  <si>
    <t xml:space="preserve">Top-15 training pairs: true vs predicted co-occurrence</t>
  </si>
  <si>
    <t xml:space="preserve">pair</t>
  </si>
  <si>
    <t xml:space="preserve">train_count</t>
  </si>
  <si>
    <t xml:space="preserve">test_true_count</t>
  </si>
  <si>
    <t xml:space="preserve">test_pred_count</t>
  </si>
  <si>
    <t xml:space="preserve">pred/true</t>
  </si>
  <si>
    <t xml:space="preserve">pair_recall</t>
  </si>
  <si>
    <t xml:space="preserve">disappointment + sadness</t>
  </si>
  <si>
    <t xml:space="preserve">anger + annoyance</t>
  </si>
  <si>
    <t xml:space="preserve">sadness + grief</t>
  </si>
  <si>
    <t xml:space="preserve">amusement + joy</t>
  </si>
  <si>
    <t xml:space="preserve">annoyance + disapproval</t>
  </si>
  <si>
    <t xml:space="preserve">joy + love</t>
  </si>
  <si>
    <t xml:space="preserve">disgust + anger</t>
  </si>
  <si>
    <t xml:space="preserve">embarrassment + sadness</t>
  </si>
  <si>
    <t xml:space="preserve">excitement + joy</t>
  </si>
  <si>
    <t xml:space="preserve">disappointment + annoyance</t>
  </si>
  <si>
    <t xml:space="preserve">amusement + annoyance</t>
  </si>
  <si>
    <t xml:space="preserve">fear + nervousness</t>
  </si>
  <si>
    <t xml:space="preserve">disgust + annoyance</t>
  </si>
  <si>
    <t xml:space="preserve">remorse + sadness</t>
  </si>
  <si>
    <t xml:space="preserve">amusement + excitement</t>
  </si>
  <si>
    <t xml:space="preserve">Q4 - Performance by text style (test, tau = 0.5)</t>
  </si>
  <si>
    <t xml:space="preserve">Rules frozen in src/vigo/analysis/text_styles.py. 'Δ Macro (formula)' = PhoBERT - BiLSTM. CI: paired bootstrap (500) of the Micro-F1 difference.</t>
  </si>
  <si>
    <t xml:space="preserve">subset</t>
  </si>
  <si>
    <t xml:space="preserve">rule</t>
  </si>
  <si>
    <t xml:space="preserve">n_samples</t>
  </si>
  <si>
    <t xml:space="preserve">macro_f1_tfidf_lr</t>
  </si>
  <si>
    <t xml:space="preserve">micro_f1_tfidf_lr</t>
  </si>
  <si>
    <t xml:space="preserve">macro_f1_bilstm</t>
  </si>
  <si>
    <t xml:space="preserve">micro_f1_bilstm</t>
  </si>
  <si>
    <t xml:space="preserve">macro_f1_phobert</t>
  </si>
  <si>
    <t xml:space="preserve">micro_f1_phobert</t>
  </si>
  <si>
    <t xml:space="preserve">delta_micro_f1_ci95</t>
  </si>
  <si>
    <t xml:space="preserve">Δ Macro-F1 (formula)</t>
  </si>
  <si>
    <t xml:space="preserve">Δ Micro-F1 (formula)</t>
  </si>
  <si>
    <t xml:space="preserve">all</t>
  </si>
  <si>
    <t xml:space="preserve">all test comments</t>
  </si>
  <si>
    <t xml:space="preserve">[+0.098, +0.128]</t>
  </si>
  <si>
    <t xml:space="preserve">short</t>
  </si>
  <si>
    <t xml:space="preserve">&lt;= 5 whitespace tokens</t>
  </si>
  <si>
    <t xml:space="preserve">[+0.042, +0.108]</t>
  </si>
  <si>
    <t xml:space="preserve">long</t>
  </si>
  <si>
    <t xml:space="preserve">&gt;= 30 whitespace tokens</t>
  </si>
  <si>
    <t xml:space="preserve">[+0.099, +0.172]</t>
  </si>
  <si>
    <t xml:space="preserve">emoji</t>
  </si>
  <si>
    <t xml:space="preserve">&gt;= 1 emoji</t>
  </si>
  <si>
    <t xml:space="preserve">[+0.019, +0.077]</t>
  </si>
  <si>
    <t xml:space="preserve">emoji_heavy</t>
  </si>
  <si>
    <t xml:space="preserve">&gt;= 2 emoji characters</t>
  </si>
  <si>
    <t xml:space="preserve">[+0.024, +0.105]</t>
  </si>
  <si>
    <t xml:space="preserve">emoticon</t>
  </si>
  <si>
    <t xml:space="preserve">&gt;= 1 ASCII emoticon</t>
  </si>
  <si>
    <t xml:space="preserve">[+0.099, +0.179]</t>
  </si>
  <si>
    <t xml:space="preserve">teencode</t>
  </si>
  <si>
    <t xml:space="preserve">&gt;= 1 multi-character teencode-dictionary token</t>
  </si>
  <si>
    <t xml:space="preserve">[+0.099, +0.155]</t>
  </si>
  <si>
    <t xml:space="preserve">plain</t>
  </si>
  <si>
    <t xml:space="preserve">not short, no emoji/emoticon/teencode</t>
  </si>
  <si>
    <t xml:space="preserve">[+0.128, +0.174]</t>
  </si>
  <si>
    <t xml:space="preserve">Q5 - Sensitivity to the default threshold</t>
  </si>
  <si>
    <t xml:space="preserve">Sources: q5_threshold_sensitivity_summary.csv, q5_per_label_thresholds.csv, q5_threshold_sweep_val.csv (validation only)</t>
  </si>
  <si>
    <t xml:space="preserve">Summary (validation)</t>
  </si>
  <si>
    <t xml:space="preserve">val_macro_f1@0.5</t>
  </si>
  <si>
    <t xml:space="preserve">val_micro_f1@0.5</t>
  </si>
  <si>
    <t xml:space="preserve">best_global_tau(val)</t>
  </si>
  <si>
    <t xml:space="preserve">val_macro_f1@best</t>
  </si>
  <si>
    <t xml:space="preserve">gain_vs_0.5</t>
  </si>
  <si>
    <t xml:space="preserve">val_macro_f1@0.3</t>
  </si>
  <si>
    <t xml:space="preserve">val_macro_f1@0.4</t>
  </si>
  <si>
    <t xml:space="preserve">val_macro_f1@0.6</t>
  </si>
  <si>
    <t xml:space="preserve">val_macro_f1@0.7</t>
  </si>
  <si>
    <t xml:space="preserve">range_macro_f1_tau_in_[0.3,0.7]</t>
  </si>
  <si>
    <t xml:space="preserve">Validation-optimal threshold per label</t>
  </si>
  <si>
    <t xml:space="preserve">Validation Macro-F1 for a global threshold tau (full sweep)</t>
  </si>
  <si>
    <t xml:space="preserve">Macro-F1 by frequency tier and Micro-F1 by label cardinality (test)</t>
  </si>
  <si>
    <t xml:space="preserve">Source: results/tables/tier_and_cardinality_breakdown.csv</t>
  </si>
  <si>
    <t xml:space="preserve">macro_f1_head</t>
  </si>
  <si>
    <t xml:space="preserve">macro_f1_mid</t>
  </si>
  <si>
    <t xml:space="preserve">macro_f1_tail</t>
  </si>
  <si>
    <t xml:space="preserve">micro_f1_|Y|=1</t>
  </si>
  <si>
    <t xml:space="preserve">micro_f1_|Y|=2</t>
  </si>
  <si>
    <t xml:space="preserve">micro_f1_|Y|=3</t>
  </si>
  <si>
    <t xml:space="preserve">micro_f1_|Y|&gt;=4</t>
  </si>
  <si>
    <t xml:space="preserve">Error analysis - PhoBERT, test, tau = 0.5</t>
  </si>
  <si>
    <t xml:space="preserve">Sources: error_by_label.csv, error_confusion_pairs.csv, error_by_bucket.csv, error_cases_public.csv (ids only, no text)</t>
  </si>
  <si>
    <t xml:space="preserve">Errors per label (sorted by false negatives)</t>
  </si>
  <si>
    <t xml:space="preserve">false_negatives</t>
  </si>
  <si>
    <t xml:space="preserve">false_positives</t>
  </si>
  <si>
    <t xml:space="preserve">fn_rate(miss)</t>
  </si>
  <si>
    <t xml:space="preserve">fp_per_100</t>
  </si>
  <si>
    <t xml:space="preserve">Top-20 systematic confusions (missed true label, spurious predicted label)</t>
  </si>
  <si>
    <t xml:space="preserve">missed_true_label</t>
  </si>
  <si>
    <t xml:space="preserve">spurious_pred_label</t>
  </si>
  <si>
    <t xml:space="preserve">count</t>
  </si>
  <si>
    <t xml:space="preserve">Error profile by text style and label cardinality</t>
  </si>
  <si>
    <t xml:space="preserve">bucket</t>
  </si>
  <si>
    <t xml:space="preserve">n</t>
  </si>
  <si>
    <t xml:space="preserve">exact_match</t>
  </si>
  <si>
    <t xml:space="preserve">samples_f1</t>
  </si>
  <si>
    <t xml:space="preserve">avg_FN_per_comment</t>
  </si>
  <si>
    <t xml:space="preserve">avg_FP_per_comment</t>
  </si>
  <si>
    <t xml:space="preserve">empty_prediction_rate</t>
  </si>
  <si>
    <t xml:space="preserve">style=short</t>
  </si>
  <si>
    <t xml:space="preserve">style=long</t>
  </si>
  <si>
    <t xml:space="preserve">style=emoji</t>
  </si>
  <si>
    <t xml:space="preserve">style=emoji_heavy</t>
  </si>
  <si>
    <t xml:space="preserve">style=emoticon</t>
  </si>
  <si>
    <t xml:space="preserve">style=teencode</t>
  </si>
  <si>
    <t xml:space="preserve">style=plain</t>
  </si>
  <si>
    <t xml:space="preserve">|Y|=1</t>
  </si>
  <si>
    <t xml:space="preserve">|Y|=2</t>
  </si>
  <si>
    <t xml:space="preserve">|Y|=3</t>
  </si>
  <si>
    <t xml:space="preserve">|Y|&gt;=4</t>
  </si>
  <si>
    <t xml:space="preserve">Cases extracted for manual audit (97; text kept private)</t>
  </si>
  <si>
    <t xml:space="preserve">case_type</t>
  </si>
  <si>
    <t xml:space="preserve">sample_id</t>
  </si>
  <si>
    <t xml:space="preserve">style_buckets</t>
  </si>
  <si>
    <t xml:space="preserve">true_labels</t>
  </si>
  <si>
    <t xml:space="preserve">pred_labels</t>
  </si>
  <si>
    <t xml:space="preserve">top4_probs</t>
  </si>
  <si>
    <t xml:space="preserve">note</t>
  </si>
  <si>
    <t xml:space="preserve">false_negative</t>
  </si>
  <si>
    <t xml:space="preserve">3919</t>
  </si>
  <si>
    <t xml:space="preserve">confusion, fear</t>
  </si>
  <si>
    <t xml:space="preserve">(none)</t>
  </si>
  <si>
    <t xml:space="preserve">neutral(0.41), curiosity(0.27), confusion(0.13), sadness(0.09)</t>
  </si>
  <si>
    <t xml:space="preserve">missed fear (p=0.00)</t>
  </si>
  <si>
    <t xml:space="preserve">15999</t>
  </si>
  <si>
    <t xml:space="preserve">amusement, optimism</t>
  </si>
  <si>
    <t xml:space="preserve">admiration(0.36), annoyance(0.30), disgust(0.25), anger(0.22)</t>
  </si>
  <si>
    <t xml:space="preserve">missed optimism (p=0.00)</t>
  </si>
  <si>
    <t xml:space="preserve">tik005017</t>
  </si>
  <si>
    <t xml:space="preserve">anger, annoyance</t>
  </si>
  <si>
    <t xml:space="preserve">anger(0.94), annoyance(0.69), disgust(0.15), disapproval(0.01)</t>
  </si>
  <si>
    <t xml:space="preserve">missed caring (p=0.00)</t>
  </si>
  <si>
    <t xml:space="preserve">609</t>
  </si>
  <si>
    <t xml:space="preserve">amusement, relief</t>
  </si>
  <si>
    <t xml:space="preserve">amusement(0.98), excitement(0.49), curiosity(0.35), joy(0.10)</t>
  </si>
  <si>
    <t xml:space="preserve">missed relief (p=0.00)</t>
  </si>
  <si>
    <t xml:space="preserve">682</t>
  </si>
  <si>
    <t xml:space="preserve">amusement, neutral</t>
  </si>
  <si>
    <t xml:space="preserve">disgust, anger</t>
  </si>
  <si>
    <t xml:space="preserve">anger(0.76), disgust(0.62), annoyance(0.50), surprise(0.07)</t>
  </si>
  <si>
    <t xml:space="preserve">missed neutral (p=0.00)</t>
  </si>
  <si>
    <t xml:space="preserve">12013</t>
  </si>
  <si>
    <t xml:space="preserve">sadness(1.00), disappointment(0.40), caring(0.09), nervousness(0.02)</t>
  </si>
  <si>
    <t xml:space="preserve">missed amusement (p=0.00)</t>
  </si>
  <si>
    <t xml:space="preserve">tik013247</t>
  </si>
  <si>
    <t xml:space="preserve">disappointment, sadness</t>
  </si>
  <si>
    <t xml:space="preserve">realization(0.78), remorse(0.49), confusion(0.44), sadness(0.10)</t>
  </si>
  <si>
    <t xml:space="preserve">missed disappointment (p=0.00)</t>
  </si>
  <si>
    <t xml:space="preserve">20465</t>
  </si>
  <si>
    <t xml:space="preserve">nervousness, disappointment, sadness, annoyance</t>
  </si>
  <si>
    <t xml:space="preserve">disappointment(0.82), sadness(0.82), annoyance(0.71), nervousness(0.54)</t>
  </si>
  <si>
    <t xml:space="preserve">missed approval (p=0.00)</t>
  </si>
  <si>
    <t xml:space="preserve">14149</t>
  </si>
  <si>
    <t xml:space="preserve">curiosity, neutral</t>
  </si>
  <si>
    <t xml:space="preserve">approval(0.78), caring(0.11), realization(0.09), gratitude(0.04)</t>
  </si>
  <si>
    <t xml:space="preserve">missed curiosity (p=0.00)</t>
  </si>
  <si>
    <t xml:space="preserve">4766</t>
  </si>
  <si>
    <t xml:space="preserve">curiosity, disappointment, annoyance</t>
  </si>
  <si>
    <t xml:space="preserve">curiosity(0.61), amusement(0.36), excitement(0.25), desire(0.04)</t>
  </si>
  <si>
    <t xml:space="preserve">tik012972</t>
  </si>
  <si>
    <t xml:space="preserve">remorse, sadness</t>
  </si>
  <si>
    <t xml:space="preserve">sadness(1.00), love(0.33), disappointment(0.29), joy(0.16)</t>
  </si>
  <si>
    <t xml:space="preserve">missed remorse (p=0.00)</t>
  </si>
  <si>
    <t xml:space="preserve">4040</t>
  </si>
  <si>
    <t xml:space="preserve">surprise, disappointment, annoyance</t>
  </si>
  <si>
    <t xml:space="preserve">disappointment, annoyance</t>
  </si>
  <si>
    <t xml:space="preserve">disappointment(0.90), annoyance(0.69), disapproval(0.41), confusion(0.27)</t>
  </si>
  <si>
    <t xml:space="preserve">missed surprise (p=0.00)</t>
  </si>
  <si>
    <t xml:space="preserve">1755</t>
  </si>
  <si>
    <t xml:space="preserve">amusement, realization, disappointment, annoyance</t>
  </si>
  <si>
    <t xml:space="preserve">annoyance(0.32), neutral(0.18), disapproval(0.12), caring(0.10)</t>
  </si>
  <si>
    <t xml:space="preserve">missed realization (p=0.00)</t>
  </si>
  <si>
    <t xml:space="preserve">157</t>
  </si>
  <si>
    <t xml:space="preserve">amusement, pride</t>
  </si>
  <si>
    <t xml:space="preserve">amusement, annoyance</t>
  </si>
  <si>
    <t xml:space="preserve">amusement(0.99), annoyance(0.80), disappointment(0.08), disapproval(0.04)</t>
  </si>
  <si>
    <t xml:space="preserve">missed pride (p=0.00)</t>
  </si>
  <si>
    <t xml:space="preserve">469</t>
  </si>
  <si>
    <t xml:space="preserve">amusement, excitement, desire, pride</t>
  </si>
  <si>
    <t xml:space="preserve">amusement, disappointment, sadness</t>
  </si>
  <si>
    <t xml:space="preserve">sadness(0.69), amusement(0.66), disappointment(0.58), pride(0.35)</t>
  </si>
  <si>
    <t xml:space="preserve">missed desire (p=0.00)</t>
  </si>
  <si>
    <t xml:space="preserve">243</t>
  </si>
  <si>
    <t xml:space="preserve">joy, neutral</t>
  </si>
  <si>
    <t xml:space="preserve">annoyance(0.97), neutral(0.14), disappointment(0.11), anger(0.08)</t>
  </si>
  <si>
    <t xml:space="preserve">missed joy (p=0.00)</t>
  </si>
  <si>
    <t xml:space="preserve">you000924</t>
  </si>
  <si>
    <t xml:space="preserve">long|emoji</t>
  </si>
  <si>
    <t xml:space="preserve">excitement, gratitude, surprise</t>
  </si>
  <si>
    <t xml:space="preserve">admiration, gratitude</t>
  </si>
  <si>
    <t xml:space="preserve">gratitude(1.00), admiration(0.85), optimism(0.49), approval(0.20)</t>
  </si>
  <si>
    <t xml:space="preserve">16719</t>
  </si>
  <si>
    <t xml:space="preserve">amusement, fear, grief, disgust</t>
  </si>
  <si>
    <t xml:space="preserve">annoyance(0.86), anger(0.74), disgust(0.08), amusement(0.08)</t>
  </si>
  <si>
    <t xml:space="preserve">missed grief (p=0.00)</t>
  </si>
  <si>
    <t xml:space="preserve">17275</t>
  </si>
  <si>
    <t xml:space="preserve">long|teencode</t>
  </si>
  <si>
    <t xml:space="preserve">disgust, disapproval</t>
  </si>
  <si>
    <t xml:space="preserve">disappointment(0.73), sadness(0.56), realization(0.40), neutral(0.36)</t>
  </si>
  <si>
    <t xml:space="preserve">missed disgust (p=0.00)</t>
  </si>
  <si>
    <t xml:space="preserve">tik005932</t>
  </si>
  <si>
    <t xml:space="preserve">curiosity(1.00), desire(0.08), annoyance(0.05), amusement(0.02)</t>
  </si>
  <si>
    <t xml:space="preserve">missed admiration (p=0.00)</t>
  </si>
  <si>
    <t xml:space="preserve">1542</t>
  </si>
  <si>
    <t xml:space="preserve">short|emoticon</t>
  </si>
  <si>
    <t xml:space="preserve">amusement, realization</t>
  </si>
  <si>
    <t xml:space="preserve">amusement, joy, love</t>
  </si>
  <si>
    <t xml:space="preserve">joy(0.79), amusement(0.70), love(0.65), excitement(0.09)</t>
  </si>
  <si>
    <t xml:space="preserve">3743</t>
  </si>
  <si>
    <t xml:space="preserve">amusement(0.77), nervousness(0.17), confusion(0.07), excitement(0.07)</t>
  </si>
  <si>
    <t xml:space="preserve">missed anger (p=0.00)</t>
  </si>
  <si>
    <t xml:space="preserve">1655</t>
  </si>
  <si>
    <t xml:space="preserve">disgust, annoyance</t>
  </si>
  <si>
    <t xml:space="preserve">sadness(0.87), disappointment(0.60), embarrassment(0.18), annoyance(0.18)</t>
  </si>
  <si>
    <t xml:space="preserve">32169</t>
  </si>
  <si>
    <t xml:space="preserve">sadness, annoyance</t>
  </si>
  <si>
    <t xml:space="preserve">caring, sadness</t>
  </si>
  <si>
    <t xml:space="preserve">sadness(0.98), caring(0.52), realization(0.12), neutral(0.05)</t>
  </si>
  <si>
    <t xml:space="preserve">missed annoyance (p=0.00)</t>
  </si>
  <si>
    <t xml:space="preserve">19684</t>
  </si>
  <si>
    <t xml:space="preserve">curiosity, confusion</t>
  </si>
  <si>
    <t xml:space="preserve">annoyance(0.45), amusement(0.22), disgust(0.22), disappointment(0.12)</t>
  </si>
  <si>
    <t xml:space="preserve">missed confusion (p=0.00)</t>
  </si>
  <si>
    <t xml:space="preserve">false_positive</t>
  </si>
  <si>
    <t xml:space="preserve">3328</t>
  </si>
  <si>
    <t xml:space="preserve">amusement(1.00), annoyance(0.42), joy(0.11), disapproval(0.02)</t>
  </si>
  <si>
    <t xml:space="preserve">spurious amusement (p=1.00)</t>
  </si>
  <si>
    <t xml:space="preserve">2465</t>
  </si>
  <si>
    <t xml:space="preserve">sadness(1.00), disappointment(0.95), grief(0.14), annoyance(0.02)</t>
  </si>
  <si>
    <t xml:space="preserve">spurious sadness (p=1.00)</t>
  </si>
  <si>
    <t xml:space="preserve">3891</t>
  </si>
  <si>
    <t xml:space="preserve">love(1.00), amusement(0.98), joy(0.57), excitement(0.12)</t>
  </si>
  <si>
    <t xml:space="preserve">spurious love (p=1.00)</t>
  </si>
  <si>
    <t xml:space="preserve">24876</t>
  </si>
  <si>
    <t xml:space="preserve">gratitude(1.00), sadness(0.42), admiration(0.10), love(0.06)</t>
  </si>
  <si>
    <t xml:space="preserve">spurious gratitude (p=1.00)</t>
  </si>
  <si>
    <t xml:space="preserve">23925</t>
  </si>
  <si>
    <t xml:space="preserve">approval(1.00), realization(0.03), caring(0.02), optimism(0.01)</t>
  </si>
  <si>
    <t xml:space="preserve">spurious approval (p=1.00)</t>
  </si>
  <si>
    <t xml:space="preserve">6798</t>
  </si>
  <si>
    <t xml:space="preserve">amusement(1.00), joy(0.21), sadness(0.21), surprise(0.16)</t>
  </si>
  <si>
    <t xml:space="preserve">25696</t>
  </si>
  <si>
    <t xml:space="preserve">amusement(1.00), realization(0.26), annoyance(0.24), disapproval(0.17)</t>
  </si>
  <si>
    <t xml:space="preserve">tik013334</t>
  </si>
  <si>
    <t xml:space="preserve">excitement, joy, optimism</t>
  </si>
  <si>
    <t xml:space="preserve">optimism(1.00), joy(0.82), excitement(0.65), relief(0.06)</t>
  </si>
  <si>
    <t xml:space="preserve">spurious optimism (p=1.00)</t>
  </si>
  <si>
    <t xml:space="preserve">2618</t>
  </si>
  <si>
    <t xml:space="preserve">annoyance, disapproval</t>
  </si>
  <si>
    <t xml:space="preserve">fear, nervousness</t>
  </si>
  <si>
    <t xml:space="preserve">fear(1.00), nervousness(0.92), annoyance(0.21), amusement(0.09)</t>
  </si>
  <si>
    <t xml:space="preserve">spurious fear (p=1.00)</t>
  </si>
  <si>
    <t xml:space="preserve">tik017898</t>
  </si>
  <si>
    <t xml:space="preserve">fear(1.00), nervousness(0.89), embarrassment(0.36), sadness(0.13)</t>
  </si>
  <si>
    <t xml:space="preserve">23409</t>
  </si>
  <si>
    <t xml:space="preserve">amusement, love, disappointment</t>
  </si>
  <si>
    <t xml:space="preserve">sadness(1.00), disappointment(0.99), grief(0.13), amusement(0.03)</t>
  </si>
  <si>
    <t xml:space="preserve">tik015891</t>
  </si>
  <si>
    <t xml:space="preserve">desire(1.00), embarrassment(0.41), excitement(0.25), nervousness(0.05)</t>
  </si>
  <si>
    <t xml:space="preserve">spurious desire (p=1.00)</t>
  </si>
  <si>
    <t xml:space="preserve">tik009768</t>
  </si>
  <si>
    <t xml:space="preserve">admiration(1.00), pride(0.32), love(0.04), joy(0.03)</t>
  </si>
  <si>
    <t xml:space="preserve">spurious admiration (p=1.00)</t>
  </si>
  <si>
    <t xml:space="preserve">5960</t>
  </si>
  <si>
    <t xml:space="preserve">caring, nervousness, annoyance</t>
  </si>
  <si>
    <t xml:space="preserve">sadness(1.00), caring(0.93), grief(0.33), annoyance(0.03)</t>
  </si>
  <si>
    <t xml:space="preserve">189</t>
  </si>
  <si>
    <t xml:space="preserve">optimism, neutral</t>
  </si>
  <si>
    <t xml:space="preserve">sadness(1.00), disappointment(0.99), realization(0.14), grief(0.13)</t>
  </si>
  <si>
    <t xml:space="preserve">3777</t>
  </si>
  <si>
    <t xml:space="preserve">joy, admiration, sadness</t>
  </si>
  <si>
    <t xml:space="preserve">joy, love, caring, admiration</t>
  </si>
  <si>
    <t xml:space="preserve">love(1.00), joy(0.99), admiration(0.91), caring(0.54)</t>
  </si>
  <si>
    <t xml:space="preserve">31716</t>
  </si>
  <si>
    <t xml:space="preserve">sadness, grief</t>
  </si>
  <si>
    <t xml:space="preserve">sadness(1.00), grief(0.88), disappointment(0.40), annoyance(0.14)</t>
  </si>
  <si>
    <t xml:space="preserve">you002775</t>
  </si>
  <si>
    <t xml:space="preserve">joy, approval</t>
  </si>
  <si>
    <t xml:space="preserve">joy, admiration, approval</t>
  </si>
  <si>
    <t xml:space="preserve">admiration(1.00), joy(0.67), approval(0.51), amusement(0.05)</t>
  </si>
  <si>
    <t xml:space="preserve">5335</t>
  </si>
  <si>
    <t xml:space="preserve">joy, love</t>
  </si>
  <si>
    <t xml:space="preserve">love(1.00), joy(0.70), caring(0.40), amusement(0.22)</t>
  </si>
  <si>
    <t xml:space="preserve">31101</t>
  </si>
  <si>
    <t xml:space="preserve">excitement, joy, admiration</t>
  </si>
  <si>
    <t xml:space="preserve">approval(1.00), admiration(0.74), joy(0.59), excitement(0.15)</t>
  </si>
  <si>
    <t xml:space="preserve">spurious curiosity (p=1.00)</t>
  </si>
  <si>
    <t xml:space="preserve">32070</t>
  </si>
  <si>
    <t xml:space="preserve">remorse, disappointment, sadness</t>
  </si>
  <si>
    <t xml:space="preserve">gratitude, realization, sadness</t>
  </si>
  <si>
    <t xml:space="preserve">realization(1.00), sadness(0.95), gratitude(0.88), caring(0.17)</t>
  </si>
  <si>
    <t xml:space="preserve">spurious realization (p=1.00)</t>
  </si>
  <si>
    <t xml:space="preserve">31410</t>
  </si>
  <si>
    <t xml:space="preserve">joy, optimism</t>
  </si>
  <si>
    <t xml:space="preserve">optimism, pride</t>
  </si>
  <si>
    <t xml:space="preserve">pride(0.99), optimism(0.76), excitement(0.12), admiration(0.10)</t>
  </si>
  <si>
    <t xml:space="preserve">spurious pride (p=0.99)</t>
  </si>
  <si>
    <t xml:space="preserve">177</t>
  </si>
  <si>
    <t xml:space="preserve">realization, sadness</t>
  </si>
  <si>
    <t xml:space="preserve">realization(0.99), sadness(0.88), disappointment(0.29), approval(0.09)</t>
  </si>
  <si>
    <t xml:space="preserve">spurious realization (p=0.99)</t>
  </si>
  <si>
    <t xml:space="preserve">high_cardinality_partial</t>
  </si>
  <si>
    <t xml:space="preserve">2</t>
  </si>
  <si>
    <t xml:space="preserve">short|emoji</t>
  </si>
  <si>
    <t xml:space="preserve">surprise, disgust, anger</t>
  </si>
  <si>
    <t xml:space="preserve">fear, disgust</t>
  </si>
  <si>
    <t xml:space="preserve">disgust(0.94), fear(0.71), anger(0.48), surprise(0.26)</t>
  </si>
  <si>
    <t xml:space="preserve">|Y|=3, recovered 1</t>
  </si>
  <si>
    <t xml:space="preserve">5811</t>
  </si>
  <si>
    <t xml:space="preserve">fear, nervousness, disappointment</t>
  </si>
  <si>
    <t xml:space="preserve">fear, nervousness, annoyance</t>
  </si>
  <si>
    <t xml:space="preserve">fear(1.00), nervousness(0.95), annoyance(0.53), sadness(0.23)</t>
  </si>
  <si>
    <t xml:space="preserve">|Y|=3, recovered 2</t>
  </si>
  <si>
    <t xml:space="preserve">24629</t>
  </si>
  <si>
    <t xml:space="preserve">disappointment, annoyance, disapproval</t>
  </si>
  <si>
    <t xml:space="preserve">disappointment, disapproval</t>
  </si>
  <si>
    <t xml:space="preserve">disappointment(0.64), disapproval(0.56), annoyance(0.30), sadness(0.20)</t>
  </si>
  <si>
    <t xml:space="preserve">4066</t>
  </si>
  <si>
    <t xml:space="preserve">disappointment, sadness, grief</t>
  </si>
  <si>
    <t xml:space="preserve">sadness(1.00), disappointment(0.96), grief(0.24), remorse(0.09)</t>
  </si>
  <si>
    <t xml:space="preserve">24014</t>
  </si>
  <si>
    <t xml:space="preserve">amusement, excitement, joy</t>
  </si>
  <si>
    <t xml:space="preserve">joy, admiration</t>
  </si>
  <si>
    <t xml:space="preserve">admiration(0.95), joy(0.84), amusement(0.30), love(0.11)</t>
  </si>
  <si>
    <t xml:space="preserve">16349</t>
  </si>
  <si>
    <t xml:space="preserve">caring, gratitude, disappointment</t>
  </si>
  <si>
    <t xml:space="preserve">disapproval(0.45), annoyance(0.22), realization(0.17), sadness(0.16)</t>
  </si>
  <si>
    <t xml:space="preserve">|Y|=3, recovered 0</t>
  </si>
  <si>
    <t xml:space="preserve">138</t>
  </si>
  <si>
    <t xml:space="preserve">love, sadness</t>
  </si>
  <si>
    <t xml:space="preserve">love(0.99), sadness(0.82), joy(0.44), approval(0.34)</t>
  </si>
  <si>
    <t xml:space="preserve">1114</t>
  </si>
  <si>
    <t xml:space="preserve">amusement, admiration, surprise</t>
  </si>
  <si>
    <t xml:space="preserve">admiration(1.00), pride(0.23), surprise(0.14), joy(0.10)</t>
  </si>
  <si>
    <t xml:space="preserve">20918</t>
  </si>
  <si>
    <t xml:space="preserve">amusement, love, caring</t>
  </si>
  <si>
    <t xml:space="preserve">amusement(0.91), joy(0.28), neutral(0.22), caring(0.04)</t>
  </si>
  <si>
    <t xml:space="preserve">22775</t>
  </si>
  <si>
    <t xml:space="preserve">fear, disgust, annoyance</t>
  </si>
  <si>
    <t xml:space="preserve">disgust(0.99), fear(0.87), anger(0.18), annoyance(0.04)</t>
  </si>
  <si>
    <t xml:space="preserve">21476</t>
  </si>
  <si>
    <t xml:space="preserve">emoji|teencode</t>
  </si>
  <si>
    <t xml:space="preserve">surprise, confusion, annoyance</t>
  </si>
  <si>
    <t xml:space="preserve">annoyance(0.98), disapproval(0.39), disappointment(0.31), amusement(0.18)</t>
  </si>
  <si>
    <t xml:space="preserve">3523</t>
  </si>
  <si>
    <t xml:space="preserve">joy, love, caring</t>
  </si>
  <si>
    <t xml:space="preserve">joy, love, caring, gratitude, relief</t>
  </si>
  <si>
    <t xml:space="preserve">joy(0.99), relief(0.87), love(0.84), gratitude(0.82)</t>
  </si>
  <si>
    <t xml:space="preserve">|Y|=3, recovered 3</t>
  </si>
  <si>
    <t xml:space="preserve">2808</t>
  </si>
  <si>
    <t xml:space="preserve">amusement, excitement, optimism</t>
  </si>
  <si>
    <t xml:space="preserve">optimism(0.91), excitement(0.28), joy(0.20), sadness(0.10)</t>
  </si>
  <si>
    <t xml:space="preserve">6018</t>
  </si>
  <si>
    <t xml:space="preserve">excitement, joy</t>
  </si>
  <si>
    <t xml:space="preserve">excitement(0.99), joy(0.99), admiration(0.18), amusement(0.18)</t>
  </si>
  <si>
    <t xml:space="preserve">x000807</t>
  </si>
  <si>
    <t xml:space="preserve">amusement, optimism, realization</t>
  </si>
  <si>
    <t xml:space="preserve">optimism, approval, realization</t>
  </si>
  <si>
    <t xml:space="preserve">realization(0.94), optimism(0.79), approval(0.51), amusement(0.40)</t>
  </si>
  <si>
    <t xml:space="preserve">style_short</t>
  </si>
  <si>
    <t xml:space="preserve">4010</t>
  </si>
  <si>
    <t xml:space="preserve">amusement, curiosity</t>
  </si>
  <si>
    <t xml:space="preserve">amusement, joy</t>
  </si>
  <si>
    <t xml:space="preserve">amusement(0.94), joy(0.69), curiosity(0.21), love(0.07)</t>
  </si>
  <si>
    <t xml:space="preserve">exact-match error</t>
  </si>
  <si>
    <t xml:space="preserve">28483</t>
  </si>
  <si>
    <t xml:space="preserve">short|emoji|teencode</t>
  </si>
  <si>
    <t xml:space="preserve">desire, gratitude</t>
  </si>
  <si>
    <t xml:space="preserve">gratitude(1.00), desire(0.50), remorse(0.03), relief(0.02)</t>
  </si>
  <si>
    <t xml:space="preserve">14187</t>
  </si>
  <si>
    <t xml:space="preserve">annoyance(0.92), neutral(0.49), disapproval(0.12), disgust(0.08)</t>
  </si>
  <si>
    <t xml:space="preserve">tik014020</t>
  </si>
  <si>
    <t xml:space="preserve">short|teencode</t>
  </si>
  <si>
    <t xml:space="preserve">surprise, confusion</t>
  </si>
  <si>
    <t xml:space="preserve">realization, surprise</t>
  </si>
  <si>
    <t xml:space="preserve">realization(0.92), surprise(0.83), confusion(0.16), disgust(0.09)</t>
  </si>
  <si>
    <t xml:space="preserve">1731</t>
  </si>
  <si>
    <t xml:space="preserve">short|emoticon|teencode</t>
  </si>
  <si>
    <t xml:space="preserve">sadness(0.76), disappointment(0.51), annoyance(0.45), grief(0.44)</t>
  </si>
  <si>
    <t xml:space="preserve">6451</t>
  </si>
  <si>
    <t xml:space="preserve">amusement, love</t>
  </si>
  <si>
    <t xml:space="preserve">amusement(0.98), love(0.44), joy(0.22), excitement(0.01)</t>
  </si>
  <si>
    <t xml:space="preserve">16742</t>
  </si>
  <si>
    <t xml:space="preserve">fear, sadness, disgust</t>
  </si>
  <si>
    <t xml:space="preserve">fear(1.00), disgust(0.53), surprise(0.14), nervousness(0.12)</t>
  </si>
  <si>
    <t xml:space="preserve">1093</t>
  </si>
  <si>
    <t xml:space="preserve">amusement, excitement</t>
  </si>
  <si>
    <t xml:space="preserve">excitement, desire</t>
  </si>
  <si>
    <t xml:space="preserve">excitement(0.99), desire(0.58), joy(0.11), amusement(0.10)</t>
  </si>
  <si>
    <t xml:space="preserve">style_emoji_heavy</t>
  </si>
  <si>
    <t xml:space="preserve">5854</t>
  </si>
  <si>
    <t xml:space="preserve">sadness(1.00), disappointment(0.98), grief(0.03), annoyance(0.03)</t>
  </si>
  <si>
    <t xml:space="preserve">tik002729</t>
  </si>
  <si>
    <t xml:space="preserve">long|emoji|teencode</t>
  </si>
  <si>
    <t xml:space="preserve">caring, remorse</t>
  </si>
  <si>
    <t xml:space="preserve">caring, disappointment, sadness</t>
  </si>
  <si>
    <t xml:space="preserve">caring(0.92), sadness(0.81), disappointment(0.57), disapproval(0.07)</t>
  </si>
  <si>
    <t xml:space="preserve">tik012382</t>
  </si>
  <si>
    <t xml:space="preserve">desire, remorse</t>
  </si>
  <si>
    <t xml:space="preserve">desire, remorse, sadness</t>
  </si>
  <si>
    <t xml:space="preserve">desire(0.96), remorse(0.95), sadness(0.86), grief(0.09)</t>
  </si>
  <si>
    <t xml:space="preserve">tik013615</t>
  </si>
  <si>
    <t xml:space="preserve">joy(0.97), love(0.97), admiration(0.25), excitement(0.25)</t>
  </si>
  <si>
    <t xml:space="preserve">tik017000</t>
  </si>
  <si>
    <t xml:space="preserve">emoji|emoticon|teencode</t>
  </si>
  <si>
    <t xml:space="preserve">nervousness, embarrassment</t>
  </si>
  <si>
    <t xml:space="preserve">embarrassment(1.00), love(0.14), sadness(0.08), nervousness(0.01)</t>
  </si>
  <si>
    <t xml:space="preserve">tik023628</t>
  </si>
  <si>
    <t xml:space="preserve">pride, curiosity</t>
  </si>
  <si>
    <t xml:space="preserve">pride(1.00), love(0.38), admiration(0.05), joy(0.04)</t>
  </si>
  <si>
    <t xml:space="preserve">3275</t>
  </si>
  <si>
    <t xml:space="preserve">surprise, sadness</t>
  </si>
  <si>
    <t xml:space="preserve">sadness(0.99), grief(0.32), disappointment(0.26), embarrassment(0.17)</t>
  </si>
  <si>
    <t xml:space="preserve">14893</t>
  </si>
  <si>
    <t xml:space="preserve">anger, disapproval</t>
  </si>
  <si>
    <t xml:space="preserve">anger(0.95), disapproval(0.39), annoyance(0.28), disgust(0.22)</t>
  </si>
  <si>
    <t xml:space="preserve">style_teencode</t>
  </si>
  <si>
    <t xml:space="preserve">23994</t>
  </si>
  <si>
    <t xml:space="preserve">surprise, annoyance</t>
  </si>
  <si>
    <t xml:space="preserve">surprise(0.83), annoyance(0.79), disapproval(0.34), confusion(0.23)</t>
  </si>
  <si>
    <t xml:space="preserve">32504</t>
  </si>
  <si>
    <t xml:space="preserve">optimism, approval, neutral</t>
  </si>
  <si>
    <t xml:space="preserve">optimism, approval</t>
  </si>
  <si>
    <t xml:space="preserve">optimism(0.87), approval(0.77), admiration(0.31), caring(0.20)</t>
  </si>
  <si>
    <t xml:space="preserve">you002081</t>
  </si>
  <si>
    <t xml:space="preserve">gratitude, fear</t>
  </si>
  <si>
    <t xml:space="preserve">gratitude, fear, nervousness</t>
  </si>
  <si>
    <t xml:space="preserve">nervousness(0.86), gratitude(0.81), fear(0.56), confusion(0.28)</t>
  </si>
  <si>
    <t xml:space="preserve">16334</t>
  </si>
  <si>
    <t xml:space="preserve">anger(0.65), disapproval(0.45), sadness(0.38), disappointment(0.22)</t>
  </si>
  <si>
    <t xml:space="preserve">you003565</t>
  </si>
  <si>
    <t xml:space="preserve">sadness(1.00), disappointment(0.97), grief(0.40), love(0.06)</t>
  </si>
  <si>
    <t xml:space="preserve">23782</t>
  </si>
  <si>
    <t xml:space="preserve">joy(1.00), excitement(0.83), amusement(0.59), admiration(0.09)</t>
  </si>
  <si>
    <t xml:space="preserve">390</t>
  </si>
  <si>
    <t xml:space="preserve">anger(0.99), disgust(0.69), annoyance(0.26), disapproval(0.00)</t>
  </si>
  <si>
    <t xml:space="preserve">18176</t>
  </si>
  <si>
    <t xml:space="preserve">optimism, caring, admiration, sadness</t>
  </si>
  <si>
    <t xml:space="preserve">caring, sadness, grief</t>
  </si>
  <si>
    <t xml:space="preserve">sadness(0.98), caring(0.96), grief(0.95), optimism(0.42)</t>
  </si>
  <si>
    <t xml:space="preserve">style_emoticon</t>
  </si>
  <si>
    <t xml:space="preserve">you002161</t>
  </si>
  <si>
    <t xml:space="preserve">long|emoticon</t>
  </si>
  <si>
    <t xml:space="preserve">gratitude, relief, remorse, sadness</t>
  </si>
  <si>
    <t xml:space="preserve">gratitude, remorse, sadness</t>
  </si>
  <si>
    <t xml:space="preserve">sadness(0.92), gratitude(0.90), remorse(0.72), relief(0.36)</t>
  </si>
  <si>
    <t xml:space="preserve">31485</t>
  </si>
  <si>
    <t xml:space="preserve">emoticon|teencode</t>
  </si>
  <si>
    <t xml:space="preserve">disappointment(1.00), sadness(0.88), annoyance(0.14), remorse(0.01)</t>
  </si>
  <si>
    <t xml:space="preserve">5287</t>
  </si>
  <si>
    <t xml:space="preserve">disappointment(0.99), sadness(0.89), surprise(0.38), amusement(0.09)</t>
  </si>
  <si>
    <t xml:space="preserve">3476</t>
  </si>
  <si>
    <t xml:space="preserve">neutral(0.49), pride(0.20), approval(0.02), realization(0.01)</t>
  </si>
  <si>
    <t xml:space="preserve">27634</t>
  </si>
  <si>
    <t xml:space="preserve">disgust, anger, annoyance</t>
  </si>
  <si>
    <t xml:space="preserve">amusement, annoyance, disapproval</t>
  </si>
  <si>
    <t xml:space="preserve">amusement(0.93), annoyance(0.86), disapproval(0.62), disgust(0.14)</t>
  </si>
  <si>
    <t xml:space="preserve">tik019862</t>
  </si>
  <si>
    <t xml:space="preserve">short|emoji|emoticon</t>
  </si>
  <si>
    <t xml:space="preserve">amusement, excitement, surprise</t>
  </si>
  <si>
    <t xml:space="preserve">surprise(0.83), amusement(0.83), excitement(0.78), curiosity(0.08)</t>
  </si>
  <si>
    <t xml:space="preserve">Dataset analysis</t>
  </si>
  <si>
    <t xml:space="preserve">Sources: results/tables/dataset_summary.csv, label_inventory.csv, cardinality_summary.csv, text_length_stats.csv, informal_text_audit.csv, top_pairs.csv</t>
  </si>
  <si>
    <t xml:space="preserve">Dataset summary</t>
  </si>
  <si>
    <t xml:space="preserve">item</t>
  </si>
  <si>
    <t xml:space="preserve">value</t>
  </si>
  <si>
    <t xml:space="preserve">total comments</t>
  </si>
  <si>
    <t xml:space="preserve">20664</t>
  </si>
  <si>
    <t xml:space="preserve">train comments</t>
  </si>
  <si>
    <t xml:space="preserve">16531</t>
  </si>
  <si>
    <t xml:space="preserve">val comments</t>
  </si>
  <si>
    <t xml:space="preserve">2066</t>
  </si>
  <si>
    <t xml:space="preserve">test comments</t>
  </si>
  <si>
    <t xml:space="preserve">2067</t>
  </si>
  <si>
    <t xml:space="preserve">labels (27 emotions + neutral)</t>
  </si>
  <si>
    <t xml:space="preserve">28</t>
  </si>
  <si>
    <t xml:space="preserve">mean labels per comment |Y|</t>
  </si>
  <si>
    <t xml:space="preserve">1.909</t>
  </si>
  <si>
    <t xml:space="preserve">label density</t>
  </si>
  <si>
    <t xml:space="preserve">0.0682</t>
  </si>
  <si>
    <t xml:space="preserve">distinct label sets</t>
  </si>
  <si>
    <t xml:space="preserve">1485</t>
  </si>
  <si>
    <t xml:space="preserve">most frequent label (train)</t>
  </si>
  <si>
    <t xml:space="preserve">rarest label (train)</t>
  </si>
  <si>
    <t xml:space="preserve">imbalance ratio max/min (train)</t>
  </si>
  <si>
    <t xml:space="preserve">4.52</t>
  </si>
  <si>
    <t xml:space="preserve">median whitespace tokens (train)</t>
  </si>
  <si>
    <t xml:space="preserve">11.0</t>
  </si>
  <si>
    <t xml:space="preserve">Label inventory (positives per split)</t>
  </si>
  <si>
    <t xml:space="preserve">index</t>
  </si>
  <si>
    <t xml:space="preserve">train_pct</t>
  </si>
  <si>
    <t xml:space="preserve">val_count</t>
  </si>
  <si>
    <t xml:space="preserve">val_pct</t>
  </si>
  <si>
    <t xml:space="preserve">test_count</t>
  </si>
  <si>
    <t xml:space="preserve">test_pct</t>
  </si>
  <si>
    <t xml:space="preserve">all_count</t>
  </si>
  <si>
    <t xml:space="preserve">train_rank</t>
  </si>
  <si>
    <t xml:space="preserve">Label cardinality</t>
  </si>
  <si>
    <t xml:space="preserve">split</t>
  </si>
  <si>
    <t xml:space="preserve">mean</t>
  </si>
  <si>
    <t xml:space="preserve">median</t>
  </si>
  <si>
    <t xml:space="preserve">max</t>
  </si>
  <si>
    <t xml:space="preserve">density</t>
  </si>
  <si>
    <t xml:space="preserve">pct_|Y|=1</t>
  </si>
  <si>
    <t xml:space="preserve">pct_|Y|=2</t>
  </si>
  <si>
    <t xml:space="preserve">pct_|Y|=3</t>
  </si>
  <si>
    <t xml:space="preserve">pct_|Y|=4</t>
  </si>
  <si>
    <t xml:space="preserve">pct_|Y|=5</t>
  </si>
  <si>
    <t xml:space="preserve">neutral_only_pct</t>
  </si>
  <si>
    <t xml:space="preserve">train</t>
  </si>
  <si>
    <t xml:space="preserve">val</t>
  </si>
  <si>
    <t xml:space="preserve">test</t>
  </si>
  <si>
    <t xml:space="preserve">Top co-occurring pairs (train)</t>
  </si>
  <si>
    <t xml:space="preserve">label_a</t>
  </si>
  <si>
    <t xml:space="preserve">label_b</t>
  </si>
  <si>
    <t xml:space="preserve">pct_of_train</t>
  </si>
  <si>
    <t xml:space="preserve">P(b|a)</t>
  </si>
  <si>
    <t xml:space="preserve">P(a|b)</t>
  </si>
  <si>
    <t xml:space="preserve">phi</t>
  </si>
  <si>
    <t xml:space="preserve">pmi</t>
  </si>
  <si>
    <t xml:space="preserve">Text length statistics</t>
  </si>
  <si>
    <t xml:space="preserve">unit</t>
  </si>
  <si>
    <t xml:space="preserve">min</t>
  </si>
  <si>
    <t xml:space="preserve">p25</t>
  </si>
  <si>
    <t xml:space="preserve">p90</t>
  </si>
  <si>
    <t xml:space="preserve">p95</t>
  </si>
  <si>
    <t xml:space="preserve">p99</t>
  </si>
  <si>
    <t xml:space="preserve">whitespace_tokens</t>
  </si>
  <si>
    <t xml:space="preserve">characters</t>
  </si>
  <si>
    <t xml:space="preserve">Informal Vietnamese audit (all comments)</t>
  </si>
  <si>
    <t xml:space="preserve">phenomenon</t>
  </si>
  <si>
    <t xml:space="preserve">n_comments</t>
  </si>
  <si>
    <t xml:space="preserve">pct</t>
  </si>
  <si>
    <t xml:space="preserve">contains emoji</t>
  </si>
  <si>
    <t xml:space="preserve">&gt;= 2 emoji</t>
  </si>
  <si>
    <t xml:space="preserve">ASCII emoticon (:)) =)) :v ^^)</t>
  </si>
  <si>
    <t xml:space="preserve">teencode / abbreviation token (dictionary)</t>
  </si>
  <si>
    <t xml:space="preserve">multi-char teencode token</t>
  </si>
  <si>
    <t xml:space="preserve">elongated word (letter x3+, e.g. 'quáaaa')</t>
  </si>
  <si>
    <t xml:space="preserve">repeated punctuation (!!, ??, ...)</t>
  </si>
  <si>
    <t xml:space="preserve">laughter token (haha, hihi, kkk, =))</t>
  </si>
  <si>
    <t xml:space="preserve">@mention</t>
  </si>
  <si>
    <t xml:space="preserve">URL</t>
  </si>
  <si>
    <t xml:space="preserve">hashtag</t>
  </si>
  <si>
    <t xml:space="preserve">ALL-CAPS word (&gt;= 3 letters)</t>
  </si>
  <si>
    <t xml:space="preserve">unaccented Vietnamese (&gt;= 4 tokens, no diacritics)</t>
  </si>
  <si>
    <t xml:space="preserve">anonymised person placeholder 'per'</t>
  </si>
  <si>
    <t xml:space="preserve">&lt;br&gt; / line break</t>
  </si>
  <si>
    <t xml:space="preserve">profanity / vulgar slang (dm, vl, vcl, đm, cc...)</t>
  </si>
  <si>
    <t xml:space="preserve">Most frequent teencode tokens</t>
  </si>
  <si>
    <t xml:space="preserve">token</t>
  </si>
  <si>
    <t xml:space="preserve">normalised</t>
  </si>
  <si>
    <t xml:space="preserve">ko</t>
  </si>
  <si>
    <t xml:space="preserve">không</t>
  </si>
  <si>
    <t xml:space="preserve">t</t>
  </si>
  <si>
    <t xml:space="preserve">tao</t>
  </si>
  <si>
    <t xml:space="preserve">k</t>
  </si>
  <si>
    <t xml:space="preserve">e</t>
  </si>
  <si>
    <t xml:space="preserve">em</t>
  </si>
  <si>
    <t xml:space="preserve">đc</t>
  </si>
  <si>
    <t xml:space="preserve">được</t>
  </si>
  <si>
    <t xml:space="preserve">a</t>
  </si>
  <si>
    <t xml:space="preserve">anh</t>
  </si>
  <si>
    <t xml:space="preserve">ng</t>
  </si>
  <si>
    <t xml:space="preserve">người</t>
  </si>
  <si>
    <t xml:space="preserve">v</t>
  </si>
  <si>
    <t xml:space="preserve">vậy</t>
  </si>
  <si>
    <t xml:space="preserve">r</t>
  </si>
  <si>
    <t xml:space="preserve">rồi</t>
  </si>
  <si>
    <t xml:space="preserve">c</t>
  </si>
  <si>
    <t xml:space="preserve">chị</t>
  </si>
  <si>
    <t xml:space="preserve">m</t>
  </si>
  <si>
    <t xml:space="preserve">mày</t>
  </si>
  <si>
    <t xml:space="preserve">j</t>
  </si>
  <si>
    <t xml:space="preserve">gì</t>
  </si>
  <si>
    <t xml:space="preserve">vs</t>
  </si>
  <si>
    <t xml:space="preserve">với</t>
  </si>
  <si>
    <t xml:space="preserve">dc</t>
  </si>
  <si>
    <t xml:space="preserve">ngta</t>
  </si>
  <si>
    <t xml:space="preserve">người ta</t>
  </si>
  <si>
    <t xml:space="preserve">vn</t>
  </si>
  <si>
    <t xml:space="preserve">việt nam</t>
  </si>
  <si>
    <t xml:space="preserve">cx</t>
  </si>
  <si>
    <t xml:space="preserve">cũng</t>
  </si>
  <si>
    <t xml:space="preserve">mik</t>
  </si>
  <si>
    <t xml:space="preserve">mình</t>
  </si>
  <si>
    <t xml:space="preserve">h</t>
  </si>
  <si>
    <t xml:space="preserve">giờ</t>
  </si>
  <si>
    <t xml:space="preserve">kh</t>
  </si>
  <si>
    <t xml:space="preserve">dume</t>
  </si>
  <si>
    <t xml:space="preserve">đụ mẹ</t>
  </si>
  <si>
    <t xml:space="preserve">ck</t>
  </si>
  <si>
    <t xml:space="preserve">chồng</t>
  </si>
  <si>
    <t xml:space="preserve">lun</t>
  </si>
  <si>
    <t xml:space="preserve">luôn</t>
  </si>
  <si>
    <t xml:space="preserve">bt</t>
  </si>
  <si>
    <t xml:space="preserve">biết</t>
  </si>
  <si>
    <t xml:space="preserve">mn</t>
  </si>
  <si>
    <t xml:space="preserve">mọi người</t>
  </si>
  <si>
    <t xml:space="preserve">lol</t>
  </si>
  <si>
    <t xml:space="preserve">lồn</t>
  </si>
  <si>
    <t xml:space="preserve">trc</t>
  </si>
  <si>
    <t xml:space="preserve">trước</t>
  </si>
  <si>
    <t xml:space="preserve">bn</t>
  </si>
  <si>
    <t xml:space="preserve">bạn</t>
  </si>
  <si>
    <t xml:space="preserve">cmt</t>
  </si>
  <si>
    <t xml:space="preserve">bình luận</t>
  </si>
  <si>
    <t xml:space="preserve">nó</t>
  </si>
  <si>
    <t xml:space="preserve">mk</t>
  </si>
  <si>
    <t xml:space="preserve">ah</t>
  </si>
  <si>
    <t xml:space="preserve">à</t>
  </si>
  <si>
    <t xml:space="preserve">gđ</t>
  </si>
  <si>
    <t xml:space="preserve">gia đình</t>
  </si>
  <si>
    <t xml:space="preserve">z</t>
  </si>
  <si>
    <t xml:space="preserve">vl</t>
  </si>
  <si>
    <t xml:space="preserve">vãi lồn</t>
  </si>
  <si>
    <t xml:space="preserve">lm</t>
  </si>
  <si>
    <t xml:space="preserve">làm</t>
  </si>
  <si>
    <t xml:space="preserve">vk</t>
  </si>
  <si>
    <t xml:space="preserve">vợ</t>
  </si>
  <si>
    <t xml:space="preserve">s</t>
  </si>
  <si>
    <t xml:space="preserve">sao</t>
  </si>
  <si>
    <t xml:space="preserve">đm</t>
  </si>
  <si>
    <t xml:space="preserve">nhìu</t>
  </si>
  <si>
    <t xml:space="preserve">nhiều</t>
  </si>
  <si>
    <t xml:space="preserve">Share of comments with emoji, per label (train)</t>
  </si>
  <si>
    <t xml:space="preserve">pct_with_emoji</t>
  </si>
  <si>
    <t xml:space="preserve">Source platforms (from sample-id prefix)</t>
  </si>
  <si>
    <t xml:space="preserve">total</t>
  </si>
  <si>
    <t xml:space="preserve">Facebook (numeric id, incl. UIT-VSMEC)</t>
  </si>
  <si>
    <t xml:space="preserve">TikTok</t>
  </si>
  <si>
    <t xml:space="preserve">YouTube</t>
  </si>
  <si>
    <t xml:space="preserve">X (Twitter)</t>
  </si>
  <si>
    <t xml:space="preserve">Reddit</t>
  </si>
  <si>
    <t xml:space="preserve">Threads</t>
  </si>
  <si>
    <t xml:space="preserve">Split protocol audit (80/10/10)</t>
  </si>
  <si>
    <t xml:space="preserve">Sources: split_quality_audit.csv, split_label_coverage.csv. LD = label-distribution measure (Sechidis et al., 2011); lower is better.</t>
  </si>
  <si>
    <t xml:space="preserve">Stratification quality</t>
  </si>
  <si>
    <t xml:space="preserve">split_protocol</t>
  </si>
  <si>
    <t xml:space="preserve">train_n</t>
  </si>
  <si>
    <t xml:space="preserve">train_mad_rate</t>
  </si>
  <si>
    <t xml:space="preserve">train_LD</t>
  </si>
  <si>
    <t xml:space="preserve">train_min_pos</t>
  </si>
  <si>
    <t xml:space="preserve">val_n</t>
  </si>
  <si>
    <t xml:space="preserve">val_mad_rate</t>
  </si>
  <si>
    <t xml:space="preserve">val_LD</t>
  </si>
  <si>
    <t xml:space="preserve">val_min_pos</t>
  </si>
  <si>
    <t xml:space="preserve">test_n</t>
  </si>
  <si>
    <t xml:space="preserve">test_mad_rate</t>
  </si>
  <si>
    <t xml:space="preserve">test_LD</t>
  </si>
  <si>
    <t xml:space="preserve">test_min_pos</t>
  </si>
  <si>
    <t xml:space="preserve">LD_mean</t>
  </si>
  <si>
    <t xml:space="preserve">official (released)</t>
  </si>
  <si>
    <t xml:space="preserve">random (seed 42)</t>
  </si>
  <si>
    <t xml:space="preserve">iterative stratified (seed 42)</t>
  </si>
  <si>
    <t xml:space="preserve">Per-label coverage in the official split</t>
  </si>
  <si>
    <t xml:space="preserve">Ensemble compositions compared on VALIDATION only</t>
  </si>
  <si>
    <t xml:space="preserve">Source: results/tables/ensemble_composition_val.csv. The planned 3-transformer ensemble was kept.</t>
  </si>
  <si>
    <t xml:space="preserve">members</t>
  </si>
  <si>
    <t xml:space="preserve">val_global_tau</t>
  </si>
  <si>
    <t xml:space="preserve">val_macro_f1@tau*</t>
  </si>
  <si>
    <t xml:space="preserve">phobert+visobert+visobert14gb+tfidf_lr</t>
  </si>
  <si>
    <t xml:space="preserve">phobert+visobert+visobert14gb</t>
  </si>
  <si>
    <t xml:space="preserve">phobert+visobert14gb+tfidf_lr</t>
  </si>
  <si>
    <t xml:space="preserve">phobert+visobert+tfidf_lr</t>
  </si>
  <si>
    <t xml:space="preserve">phobert+visobert14gb</t>
  </si>
  <si>
    <t xml:space="preserve">phobert+visobert</t>
  </si>
  <si>
    <t xml:space="preserve">phobert+tfidf_lr</t>
  </si>
  <si>
    <t xml:space="preserve">phobert</t>
  </si>
  <si>
    <t xml:space="preserve">visobert+visobert14gb+tfidf_lr</t>
  </si>
  <si>
    <t xml:space="preserve">visobert+visobert14gb</t>
  </si>
  <si>
    <t xml:space="preserve">visobert14gb+tfidf_lr</t>
  </si>
  <si>
    <t xml:space="preserve">visobert14gb</t>
  </si>
  <si>
    <t xml:space="preserve">visobert+tfidf_lr</t>
  </si>
  <si>
    <t xml:space="preserve">visobert</t>
  </si>
  <si>
    <t xml:space="preserve">tfidf_lr</t>
  </si>
  <si>
    <t xml:space="preserve">Source: configs/*.yaml and results/runs/&lt;run&gt;/config.json + summary.json</t>
  </si>
  <si>
    <t xml:space="preserve">run</t>
  </si>
  <si>
    <t xml:space="preserve">parameter</t>
  </si>
  <si>
    <t xml:space="preserve">run_name</t>
  </si>
  <si>
    <t xml:space="preserve">seed</t>
  </si>
  <si>
    <t xml:space="preserve">42</t>
  </si>
  <si>
    <t xml:space="preserve">official</t>
  </si>
  <si>
    <t xml:space="preserve">n_jobs</t>
  </si>
  <si>
    <t xml:space="preserve">-1</t>
  </si>
  <si>
    <t xml:space="preserve">preprocess.emoji</t>
  </si>
  <si>
    <t xml:space="preserve">keep</t>
  </si>
  <si>
    <t xml:space="preserve">preprocess.lowercase</t>
  </si>
  <si>
    <t xml:space="preserve">True</t>
  </si>
  <si>
    <t xml:space="preserve">preprocess.teencode</t>
  </si>
  <si>
    <t xml:space="preserve">preprocess.segment</t>
  </si>
  <si>
    <t xml:space="preserve">features.word_ngram</t>
  </si>
  <si>
    <t xml:space="preserve">[1, 2]</t>
  </si>
  <si>
    <t xml:space="preserve">features.char_ngram</t>
  </si>
  <si>
    <t xml:space="preserve">[1, 5]</t>
  </si>
  <si>
    <t xml:space="preserve">features.min_df</t>
  </si>
  <si>
    <t xml:space="preserve">features.max_df</t>
  </si>
  <si>
    <t xml:space="preserve">0.9</t>
  </si>
  <si>
    <t xml:space="preserve">features.word_max_features</t>
  </si>
  <si>
    <t xml:space="preserve">200000</t>
  </si>
  <si>
    <t xml:space="preserve">features.char_max_features</t>
  </si>
  <si>
    <t xml:space="preserve">300000</t>
  </si>
  <si>
    <t xml:space="preserve">search.C</t>
  </si>
  <si>
    <t xml:space="preserve">[1, 2, 4, 8, 16]</t>
  </si>
  <si>
    <t xml:space="preserve">search.class_weight</t>
  </si>
  <si>
    <t xml:space="preserve">[null, "balanced"]</t>
  </si>
  <si>
    <t xml:space="preserve">selected.C</t>
  </si>
  <si>
    <t xml:space="preserve">4</t>
  </si>
  <si>
    <t xml:space="preserve">selected.class_weight</t>
  </si>
  <si>
    <t xml:space="preserve">balanced</t>
  </si>
  <si>
    <t xml:space="preserve">result.total_params</t>
  </si>
  <si>
    <t xml:space="preserve">2136316</t>
  </si>
  <si>
    <t xml:space="preserve">result.train_time_s</t>
  </si>
  <si>
    <t xml:space="preserve">6.130623416998787</t>
  </si>
  <si>
    <t xml:space="preserve">bilstm</t>
  </si>
  <si>
    <t xml:space="preserve">device</t>
  </si>
  <si>
    <t xml:space="preserve">auto</t>
  </si>
  <si>
    <t xml:space="preserve">model.cell</t>
  </si>
  <si>
    <t xml:space="preserve">lstm</t>
  </si>
  <si>
    <t xml:space="preserve">model.max_len</t>
  </si>
  <si>
    <t xml:space="preserve">100</t>
  </si>
  <si>
    <t xml:space="preserve">model.min_freq</t>
  </si>
  <si>
    <t xml:space="preserve">model.max_vocab</t>
  </si>
  <si>
    <t xml:space="preserve">50000</t>
  </si>
  <si>
    <t xml:space="preserve">model.emb_dim</t>
  </si>
  <si>
    <t xml:space="preserve">300</t>
  </si>
  <si>
    <t xml:space="preserve">model.hidden</t>
  </si>
  <si>
    <t xml:space="preserve">256</t>
  </si>
  <si>
    <t xml:space="preserve">model.layers</t>
  </si>
  <si>
    <t xml:space="preserve">model.emb_dropout</t>
  </si>
  <si>
    <t xml:space="preserve">0.25</t>
  </si>
  <si>
    <t xml:space="preserve">model.rnn_dropout</t>
  </si>
  <si>
    <t xml:space="preserve">model.dropout</t>
  </si>
  <si>
    <t xml:space="preserve">0.3</t>
  </si>
  <si>
    <t xml:space="preserve">model.pretrained_vectors</t>
  </si>
  <si>
    <t xml:space="preserve">loss.name</t>
  </si>
  <si>
    <t xml:space="preserve">bce</t>
  </si>
  <si>
    <t xml:space="preserve">train.batch_size</t>
  </si>
  <si>
    <t xml:space="preserve">64</t>
  </si>
  <si>
    <t xml:space="preserve">train.lr</t>
  </si>
  <si>
    <t xml:space="preserve">0.002</t>
  </si>
  <si>
    <t xml:space="preserve">train.weight_decay</t>
  </si>
  <si>
    <t xml:space="preserve">0.0001</t>
  </si>
  <si>
    <t xml:space="preserve">train.epochs</t>
  </si>
  <si>
    <t xml:space="preserve">25</t>
  </si>
  <si>
    <t xml:space="preserve">train.warmup_ratio</t>
  </si>
  <si>
    <t xml:space="preserve">0.1</t>
  </si>
  <si>
    <t xml:space="preserve">train.grad_clip</t>
  </si>
  <si>
    <t xml:space="preserve">1.0</t>
  </si>
  <si>
    <t xml:space="preserve">train.patience</t>
  </si>
  <si>
    <t xml:space="preserve">6</t>
  </si>
  <si>
    <t xml:space="preserve">train.select_metric</t>
  </si>
  <si>
    <t xml:space="preserve">vocab_size</t>
  </si>
  <si>
    <t xml:space="preserve">7207</t>
  </si>
  <si>
    <t xml:space="preserve">pretrained_coverage</t>
  </si>
  <si>
    <t xml:space="preserve">result.best_epoch</t>
  </si>
  <si>
    <t xml:space="preserve">15</t>
  </si>
  <si>
    <t xml:space="preserve">5173712</t>
  </si>
  <si>
    <t xml:space="preserve">1296.0280485830008</t>
  </si>
  <si>
    <t xml:space="preserve">result.device</t>
  </si>
  <si>
    <t xml:space="preserve">save_model</t>
  </si>
  <si>
    <t xml:space="preserve">False</t>
  </si>
  <si>
    <t xml:space="preserve">text</t>
  </si>
  <si>
    <t xml:space="preserve">model.name</t>
  </si>
  <si>
    <t xml:space="preserve">vinai/phobert-base-v2</t>
  </si>
  <si>
    <t xml:space="preserve">192</t>
  </si>
  <si>
    <t xml:space="preserve">model.pooling</t>
  </si>
  <si>
    <t xml:space="preserve">cls</t>
  </si>
  <si>
    <t xml:space="preserve">model.multi_sample_dropout</t>
  </si>
  <si>
    <t xml:space="preserve">1</t>
  </si>
  <si>
    <t xml:space="preserve">model.prior_bias_init</t>
  </si>
  <si>
    <t xml:space="preserve">32</t>
  </si>
  <si>
    <t xml:space="preserve">train.eval_batch_size</t>
  </si>
  <si>
    <t xml:space="preserve">128</t>
  </si>
  <si>
    <t xml:space="preserve">3e-05</t>
  </si>
  <si>
    <t xml:space="preserve">train.head_lr</t>
  </si>
  <si>
    <t xml:space="preserve">0.001</t>
  </si>
  <si>
    <t xml:space="preserve">train.llrd</t>
  </si>
  <si>
    <t xml:space="preserve">0.01</t>
  </si>
  <si>
    <t xml:space="preserve">10</t>
  </si>
  <si>
    <t xml:space="preserve">train.scheduler</t>
  </si>
  <si>
    <t xml:space="preserve">linear</t>
  </si>
  <si>
    <t xml:space="preserve">3</t>
  </si>
  <si>
    <t xml:space="preserve">train.amp</t>
  </si>
  <si>
    <t xml:space="preserve">fp16</t>
  </si>
  <si>
    <t xml:space="preserve">subword_len_p99</t>
  </si>
  <si>
    <t xml:space="preserve">84.70000000000073</t>
  </si>
  <si>
    <t xml:space="preserve">truncated_frac</t>
  </si>
  <si>
    <t xml:space="preserve">6.049240820277055e-05</t>
  </si>
  <si>
    <t xml:space="preserve">9</t>
  </si>
  <si>
    <t xml:space="preserve">134429212</t>
  </si>
  <si>
    <t xml:space="preserve">3060.179866833001</t>
  </si>
  <si>
    <t xml:space="preserve">uitnlp/visobert</t>
  </si>
  <si>
    <t xml:space="preserve">4e-05</t>
  </si>
  <si>
    <t xml:space="preserve">95.70000000000073</t>
  </si>
  <si>
    <t xml:space="preserve">0.00018147722460831167</t>
  </si>
  <si>
    <t xml:space="preserve">96996892</t>
  </si>
  <si>
    <t xml:space="preserve">2467.9769565839997</t>
  </si>
  <si>
    <t xml:space="preserve">5CD-AI/visobert-14gb-corpus</t>
  </si>
  <si>
    <t xml:space="preserve">2e-05</t>
  </si>
  <si>
    <t xml:space="preserve">7</t>
  </si>
  <si>
    <t xml:space="preserve">2511.310414709</t>
  </si>
  <si>
    <t xml:space="preserve">Hardware, package versions and checkpoints</t>
  </si>
  <si>
    <t xml:space="preserve">Source: results/runs/phobert/env.json and hardware_and_versions.txt</t>
  </si>
  <si>
    <t xml:space="preserve">Environment (PhoBERT run)</t>
  </si>
  <si>
    <t xml:space="preserve">python</t>
  </si>
  <si>
    <t xml:space="preserve">3.11.16</t>
  </si>
  <si>
    <t xml:space="preserve">platform</t>
  </si>
  <si>
    <t xml:space="preserve">macOS-27.0.1-arm64-arm-64bit</t>
  </si>
  <si>
    <t xml:space="preserve">machine</t>
  </si>
  <si>
    <t xml:space="preserve">arm64</t>
  </si>
  <si>
    <t xml:space="preserve">processor</t>
  </si>
  <si>
    <t xml:space="preserve">arm</t>
  </si>
  <si>
    <t xml:space="preserve">cpu_count</t>
  </si>
  <si>
    <t xml:space="preserve">in_colab</t>
  </si>
  <si>
    <t xml:space="preserve">cpu_brand</t>
  </si>
  <si>
    <t xml:space="preserve">Apple M1 Pro</t>
  </si>
  <si>
    <t xml:space="preserve">pkg_numpy</t>
  </si>
  <si>
    <t xml:space="preserve">2.4.6</t>
  </si>
  <si>
    <t xml:space="preserve">pkg_pandas</t>
  </si>
  <si>
    <t xml:space="preserve">3.0.6</t>
  </si>
  <si>
    <t xml:space="preserve">pkg_scikit-learn</t>
  </si>
  <si>
    <t xml:space="preserve">1.9.1</t>
  </si>
  <si>
    <t xml:space="preserve">pkg_scipy</t>
  </si>
  <si>
    <t xml:space="preserve">1.17.1</t>
  </si>
  <si>
    <t xml:space="preserve">pkg_torch</t>
  </si>
  <si>
    <t xml:space="preserve">2.14.0</t>
  </si>
  <si>
    <t xml:space="preserve">pkg_transformers</t>
  </si>
  <si>
    <t xml:space="preserve">4.57.6</t>
  </si>
  <si>
    <t xml:space="preserve">pkg_pyvi</t>
  </si>
  <si>
    <t xml:space="preserve">0.1.1</t>
  </si>
  <si>
    <t xml:space="preserve">pkg_emoji</t>
  </si>
  <si>
    <t xml:space="preserve">2.16.0</t>
  </si>
  <si>
    <t xml:space="preserve">cuda_available</t>
  </si>
  <si>
    <t xml:space="preserve">mps_available</t>
  </si>
  <si>
    <t xml:space="preserve">Pre-trained checkpoint revisions</t>
  </si>
  <si>
    <t xml:space="preserve">checkpoint</t>
  </si>
  <si>
    <t xml:space="preserve">revision (commit sha)</t>
  </si>
  <si>
    <t xml:space="preserve">86cd7fd4c148980922ac11a2cf5e257f2ba639e1</t>
  </si>
  <si>
    <t xml:space="preserve">196a62afad9cbe4f52a54aabad828b13f0eec59a</t>
  </si>
  <si>
    <t xml:space="preserve">7d5ed039a28744157117d8907b31ac66fff09b13</t>
  </si>
  <si>
    <t xml:space="preserve">uitnlp/CafeBERT</t>
  </si>
  <si>
    <t xml:space="preserve">af76fcf2a04096b2b54b348a3e4eb48253c93c5d</t>
  </si>
  <si>
    <t xml:space="preserve">vinai/phobert-large</t>
  </si>
  <si>
    <t xml:space="preserve">70e2cfcd3cce29c970aee4954ea34a32bb30afdc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</si>
</sst>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"/>
    <numFmt numFmtId="166" formatCode="0.0000"/>
    <numFmt numFmtId="167" formatCode="#,##0"/>
    <numFmt numFmtId="168" formatCode="0.0"/>
    <numFmt numFmtId="169" formatCode="\+0.000;\-0.000;0.000"/>
    <numFmt numFmtId="170" formatCode="0.00"/>
    <numFmt numFmtId="171" formatCode="0.0%"/>
    <numFmt numFmtId="172" formatCode="0.00000"/>
    <numFmt numFmtId="173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9"/>
      <color rgb="FF6B768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4213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5F7FA"/>
        <bgColor rgb="FFFFFFFF"/>
      </patternFill>
    </fill>
    <fill>
      <patternFill patternType="solid">
        <fgColor rgb="FFE7F0FC"/>
        <bgColor rgb="FFE6F4EA"/>
      </patternFill>
    </fill>
    <fill>
      <patternFill patternType="solid">
        <fgColor rgb="FFFFF4E8"/>
        <bgColor rgb="FFF5F7FA"/>
      </patternFill>
    </fill>
    <fill>
      <patternFill patternType="solid">
        <fgColor rgb="FFE6F4EA"/>
        <bgColor rgb="FFE7F0FC"/>
      </patternFill>
    </fill>
    <fill>
      <patternFill patternType="solid">
        <fgColor rgb="FFFCE9EB"/>
        <bgColor rgb="FFFFF4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213D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52F3E"/>
      <rgbColor rgb="FFFFF4E8"/>
      <rgbColor rgb="FFE6F4EA"/>
      <rgbColor rgb="FF660066"/>
      <rgbColor rgb="FFFF8080"/>
      <rgbColor rgb="FF0066CC"/>
      <rgbColor rgb="FFD5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FC"/>
      <rgbColor rgb="FFF5F7FA"/>
      <rgbColor rgb="FFFCE9EB"/>
      <rgbColor rgb="FF99CCFF"/>
      <rgbColor rgb="FFFF99CC"/>
      <rgbColor rgb="FFCC99FF"/>
      <rgbColor rgb="FFFFCC99"/>
      <rgbColor rgb="FF2A6FDB"/>
      <rgbColor rgb="FF33CCCC"/>
      <rgbColor rgb="FF99CC00"/>
      <rgbColor rgb="FFFFCC00"/>
      <rgbColor rgb="FFFF9900"/>
      <rgbColor rgb="FFE07A1F"/>
      <rgbColor rgb="FF6B7688"/>
      <rgbColor rgb="FF969696"/>
      <rgbColor rgb="FF003366"/>
      <rgbColor rgb="FF339966"/>
      <rgbColor rgb="FF003300"/>
      <rgbColor rgb="FF2C5F2D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5" t="s">
        <v>16</v>
      </c>
      <c r="B12" s="5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 t="s">
        <v>20</v>
      </c>
      <c r="B14" s="4" t="s">
        <v>21</v>
      </c>
    </row>
    <row r="15" customFormat="false" ht="15" hidden="false" customHeight="false" outlineLevel="0" collapsed="false">
      <c r="A15" s="3" t="s">
        <v>22</v>
      </c>
      <c r="B15" s="4" t="s">
        <v>23</v>
      </c>
    </row>
    <row r="16" customFormat="false" ht="15" hidden="false" customHeight="false" outlineLevel="0" collapsed="false">
      <c r="A16" s="3" t="s">
        <v>24</v>
      </c>
      <c r="B16" s="4" t="s">
        <v>25</v>
      </c>
    </row>
    <row r="17" customFormat="false" ht="15" hidden="false" customHeight="false" outlineLevel="0" collapsed="false">
      <c r="A17" s="3" t="s">
        <v>26</v>
      </c>
      <c r="B17" s="4" t="s">
        <v>27</v>
      </c>
    </row>
    <row r="18" customFormat="false" ht="15" hidden="false" customHeight="false" outlineLevel="0" collapsed="false">
      <c r="A18" s="3" t="s">
        <v>28</v>
      </c>
      <c r="B18" s="4" t="s">
        <v>29</v>
      </c>
    </row>
    <row r="19" customFormat="false" ht="15" hidden="false" customHeight="false" outlineLevel="0" collapsed="false">
      <c r="A19" s="3" t="s">
        <v>30</v>
      </c>
      <c r="B19" s="4" t="s">
        <v>31</v>
      </c>
    </row>
    <row r="20" customFormat="false" ht="15" hidden="false" customHeight="false" outlineLevel="0" collapsed="false">
      <c r="A20" s="3" t="s">
        <v>32</v>
      </c>
      <c r="B20" s="4" t="s">
        <v>33</v>
      </c>
    </row>
    <row r="21" customFormat="false" ht="15" hidden="false" customHeight="false" outlineLevel="0" collapsed="false">
      <c r="A21" s="3" t="s">
        <v>34</v>
      </c>
      <c r="B21" s="4" t="s">
        <v>35</v>
      </c>
    </row>
    <row r="22" customFormat="false" ht="15" hidden="false" customHeight="false" outlineLevel="0" collapsed="false">
      <c r="A22" s="3" t="s">
        <v>36</v>
      </c>
      <c r="B22" s="4" t="s">
        <v>37</v>
      </c>
    </row>
    <row r="23" customFormat="false" ht="15" hidden="false" customHeight="false" outlineLevel="0" collapsed="false">
      <c r="A23" s="3" t="s">
        <v>38</v>
      </c>
      <c r="B23" s="4" t="s">
        <v>39</v>
      </c>
    </row>
    <row r="24" customFormat="false" ht="15" hidden="false" customHeight="false" outlineLevel="0" collapsed="false">
      <c r="A24" s="3" t="s">
        <v>40</v>
      </c>
      <c r="B24" s="4" t="s">
        <v>41</v>
      </c>
    </row>
    <row r="25" customFormat="false" ht="15" hidden="false" customHeight="false" outlineLevel="0" collapsed="false">
      <c r="A25" s="3" t="s">
        <v>42</v>
      </c>
      <c r="B25" s="4" t="s">
        <v>43</v>
      </c>
    </row>
    <row r="26" customFormat="false" ht="15" hidden="false" customHeight="false" outlineLevel="0" collapsed="false">
      <c r="A26" s="3" t="s">
        <v>44</v>
      </c>
      <c r="B26" s="4" t="s">
        <v>45</v>
      </c>
    </row>
    <row r="27" customFormat="false" ht="15" hidden="false" customHeight="false" outlineLevel="0" collapsed="false">
      <c r="A27" s="3" t="s">
        <v>46</v>
      </c>
      <c r="B27" s="4" t="s">
        <v>47</v>
      </c>
    </row>
    <row r="28" customFormat="false" ht="15" hidden="false" customHeight="false" outlineLevel="0" collapsed="false">
      <c r="A28" s="3" t="s">
        <v>48</v>
      </c>
      <c r="B28" s="4" t="s">
        <v>49</v>
      </c>
    </row>
    <row r="29" customFormat="false" ht="15" hidden="false" customHeight="false" outlineLevel="0" collapsed="false">
      <c r="A29" s="3" t="s">
        <v>50</v>
      </c>
      <c r="B29" s="4" t="s">
        <v>51</v>
      </c>
    </row>
    <row r="30" customFormat="false" ht="15" hidden="false" customHeight="false" outlineLevel="0" collapsed="false">
      <c r="A30" s="3" t="s">
        <v>52</v>
      </c>
      <c r="B30" s="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FDB"/>
    <pageSetUpPr fitToPage="false"/>
  </sheetPr>
  <dimension ref="A1:P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5" min="4" style="0" width="20"/>
    <col collapsed="false" customWidth="true" hidden="false" outlineLevel="0" max="6" min="6" style="0" width="24"/>
    <col collapsed="false" customWidth="true" hidden="false" outlineLevel="0" max="12" min="7" style="0" width="2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8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6" t="s">
        <v>56</v>
      </c>
      <c r="B4" s="6" t="s">
        <v>57</v>
      </c>
      <c r="C4" s="6" t="s">
        <v>58</v>
      </c>
      <c r="D4" s="6" t="s">
        <v>59</v>
      </c>
      <c r="E4" s="6" t="s">
        <v>60</v>
      </c>
      <c r="F4" s="6" t="s">
        <v>61</v>
      </c>
      <c r="G4" s="6" t="s">
        <v>62</v>
      </c>
      <c r="H4" s="6" t="s">
        <v>63</v>
      </c>
      <c r="I4" s="6" t="s">
        <v>64</v>
      </c>
      <c r="J4" s="6" t="s">
        <v>65</v>
      </c>
      <c r="K4" s="6" t="s">
        <v>66</v>
      </c>
      <c r="L4" s="6" t="s">
        <v>67</v>
      </c>
      <c r="M4" s="6" t="s">
        <v>68</v>
      </c>
      <c r="N4" s="6" t="s">
        <v>69</v>
      </c>
      <c r="O4" s="6" t="s">
        <v>70</v>
      </c>
      <c r="P4" s="7" t="s">
        <v>71</v>
      </c>
    </row>
    <row r="5" customFormat="false" ht="15" hidden="false" customHeight="false" outlineLevel="0" collapsed="false">
      <c r="A5" s="8" t="s">
        <v>72</v>
      </c>
      <c r="B5" s="9" t="n">
        <v>0.54191802495305</v>
      </c>
      <c r="C5" s="9" t="n">
        <v>0.557610568638713</v>
      </c>
      <c r="D5" s="9" t="n">
        <v>0.560568327558115</v>
      </c>
      <c r="E5" s="9" t="n">
        <v>0.535852233022044</v>
      </c>
      <c r="F5" s="9" t="n">
        <v>0.554359115370163</v>
      </c>
      <c r="G5" s="10" t="n">
        <v>0.0665388071048448</v>
      </c>
      <c r="H5" s="9" t="n">
        <v>0.690048734825892</v>
      </c>
      <c r="I5" s="9" t="n">
        <v>0.56034410614536</v>
      </c>
      <c r="J5" s="9" t="n">
        <v>0.164973391388486</v>
      </c>
      <c r="K5" s="9" t="n">
        <v>0.49690232734299</v>
      </c>
      <c r="L5" s="9" t="n">
        <v>0.600346720840565</v>
      </c>
      <c r="M5" s="11" t="n">
        <v>2136316</v>
      </c>
      <c r="N5" s="8" t="s">
        <v>73</v>
      </c>
      <c r="O5" s="12" t="n">
        <v>0.1</v>
      </c>
      <c r="P5" s="13" t="n">
        <f aca="false">B5-$B$13</f>
        <v>-0.0730819750469501</v>
      </c>
    </row>
    <row r="6" customFormat="false" ht="15" hidden="false" customHeight="false" outlineLevel="0" collapsed="false">
      <c r="A6" s="14" t="s">
        <v>74</v>
      </c>
      <c r="B6" s="15" t="n">
        <v>0.512227798918337</v>
      </c>
      <c r="C6" s="15" t="n">
        <v>0.532981530343008</v>
      </c>
      <c r="D6" s="15" t="n">
        <v>0.527818855088597</v>
      </c>
      <c r="E6" s="15" t="n">
        <v>0.505104015481374</v>
      </c>
      <c r="F6" s="15" t="n">
        <v>0.523006674556718</v>
      </c>
      <c r="G6" s="16" t="n">
        <v>0.0581069873522703</v>
      </c>
      <c r="H6" s="15" t="n">
        <v>0.667664956163853</v>
      </c>
      <c r="I6" s="15" t="n">
        <v>0.539441752100195</v>
      </c>
      <c r="J6" s="15" t="n">
        <v>0.20899854862119</v>
      </c>
      <c r="K6" s="15" t="n">
        <v>0.570204287301519</v>
      </c>
      <c r="L6" s="15" t="n">
        <v>0.469299718549536</v>
      </c>
      <c r="M6" s="17" t="n">
        <v>5173712</v>
      </c>
      <c r="N6" s="14" t="s">
        <v>73</v>
      </c>
      <c r="O6" s="18" t="n">
        <v>21.6</v>
      </c>
      <c r="P6" s="13" t="n">
        <f aca="false">B6-$B$13</f>
        <v>-0.102772201081663</v>
      </c>
    </row>
    <row r="7" customFormat="false" ht="15" hidden="false" customHeight="false" outlineLevel="0" collapsed="false">
      <c r="A7" s="19" t="s">
        <v>75</v>
      </c>
      <c r="B7" s="20" t="n">
        <v>0.629157077242284</v>
      </c>
      <c r="C7" s="20" t="n">
        <v>0.646105999740832</v>
      </c>
      <c r="D7" s="20" t="n">
        <v>0.643162425420458</v>
      </c>
      <c r="E7" s="20" t="n">
        <v>0.62756160680689</v>
      </c>
      <c r="F7" s="20" t="n">
        <v>0.63680973894505</v>
      </c>
      <c r="G7" s="21" t="n">
        <v>0.0471870896399198</v>
      </c>
      <c r="H7" s="20" t="n">
        <v>0.768977570551113</v>
      </c>
      <c r="I7" s="20" t="n">
        <v>0.684224789071846</v>
      </c>
      <c r="J7" s="20" t="n">
        <v>0.293662312530237</v>
      </c>
      <c r="K7" s="20" t="n">
        <v>0.646100317455874</v>
      </c>
      <c r="L7" s="20" t="n">
        <v>0.616783025187839</v>
      </c>
      <c r="M7" s="22" t="n">
        <v>134429212</v>
      </c>
      <c r="N7" s="19" t="s">
        <v>76</v>
      </c>
      <c r="O7" s="23" t="n">
        <v>51</v>
      </c>
      <c r="P7" s="13" t="n">
        <f aca="false">B7-$B$13</f>
        <v>0.0141570772422841</v>
      </c>
    </row>
    <row r="8" customFormat="false" ht="15" hidden="false" customHeight="false" outlineLevel="0" collapsed="false">
      <c r="A8" s="14" t="s">
        <v>77</v>
      </c>
      <c r="B8" s="15" t="n">
        <v>0.613289462259427</v>
      </c>
      <c r="C8" s="15" t="n">
        <v>0.63163440010536</v>
      </c>
      <c r="D8" s="15" t="n">
        <v>0.629346294992055</v>
      </c>
      <c r="E8" s="15" t="n">
        <v>0.611755400434646</v>
      </c>
      <c r="F8" s="15" t="n">
        <v>0.62186247264614</v>
      </c>
      <c r="G8" s="16" t="n">
        <v>0.0483274587048171</v>
      </c>
      <c r="H8" s="15" t="n">
        <v>0.754854600508099</v>
      </c>
      <c r="I8" s="15" t="n">
        <v>0.656139198937642</v>
      </c>
      <c r="J8" s="15" t="n">
        <v>0.286889211417513</v>
      </c>
      <c r="K8" s="15" t="n">
        <v>0.643188529491011</v>
      </c>
      <c r="L8" s="15" t="n">
        <v>0.58893422727798</v>
      </c>
      <c r="M8" s="17" t="n">
        <v>96996892</v>
      </c>
      <c r="N8" s="14" t="s">
        <v>76</v>
      </c>
      <c r="O8" s="18" t="n">
        <v>41.1</v>
      </c>
      <c r="P8" s="13" t="n">
        <f aca="false">B8-$B$13</f>
        <v>-0.00171053774057295</v>
      </c>
    </row>
    <row r="9" customFormat="false" ht="15" hidden="false" customHeight="false" outlineLevel="0" collapsed="false">
      <c r="A9" s="8" t="s">
        <v>78</v>
      </c>
      <c r="B9" s="9" t="n">
        <v>0.620369448634895</v>
      </c>
      <c r="C9" s="9" t="n">
        <v>0.642303141843039</v>
      </c>
      <c r="D9" s="9" t="n">
        <v>0.637717906664105</v>
      </c>
      <c r="E9" s="9" t="n">
        <v>0.623582601884489</v>
      </c>
      <c r="F9" s="9" t="n">
        <v>0.627897491196734</v>
      </c>
      <c r="G9" s="10" t="n">
        <v>0.0470143064482687</v>
      </c>
      <c r="H9" s="9" t="n">
        <v>0.776541458826127</v>
      </c>
      <c r="I9" s="9" t="n">
        <v>0.678376746074226</v>
      </c>
      <c r="J9" s="9" t="n">
        <v>0.298500241896468</v>
      </c>
      <c r="K9" s="9" t="n">
        <v>0.651255734209491</v>
      </c>
      <c r="L9" s="9" t="n">
        <v>0.598774730438099</v>
      </c>
      <c r="M9" s="11" t="n">
        <v>96996892</v>
      </c>
      <c r="N9" s="8" t="s">
        <v>76</v>
      </c>
      <c r="O9" s="12" t="n">
        <v>41.9</v>
      </c>
      <c r="P9" s="13" t="n">
        <f aca="false">B9-$B$13</f>
        <v>0.00536944863489541</v>
      </c>
    </row>
    <row r="10" customFormat="false" ht="15" hidden="false" customHeight="false" outlineLevel="0" collapsed="false">
      <c r="A10" s="24" t="s">
        <v>79</v>
      </c>
      <c r="B10" s="25" t="n">
        <v>0.642969215937943</v>
      </c>
      <c r="C10" s="25" t="n">
        <v>0.663595718737299</v>
      </c>
      <c r="D10" s="25" t="n">
        <v>0.658210445728813</v>
      </c>
      <c r="E10" s="25" t="n">
        <v>0.636396587339984</v>
      </c>
      <c r="F10" s="25" t="n">
        <v>0.651649477619436</v>
      </c>
      <c r="G10" s="26" t="n">
        <v>0.0429020664869721</v>
      </c>
      <c r="H10" s="25" t="n">
        <v>0.79282649393891</v>
      </c>
      <c r="I10" s="25" t="n">
        <v>0.710347852343646</v>
      </c>
      <c r="J10" s="25" t="n">
        <v>0.320754716981132</v>
      </c>
      <c r="K10" s="25" t="n">
        <v>0.700322975719506</v>
      </c>
      <c r="L10" s="25" t="n">
        <v>0.600735832606426</v>
      </c>
      <c r="M10" s="27" t="n">
        <v>328422996</v>
      </c>
      <c r="N10" s="24" t="s">
        <v>73</v>
      </c>
      <c r="O10" s="28" t="n">
        <v>134</v>
      </c>
      <c r="P10" s="13" t="n">
        <f aca="false">B10-$B$13</f>
        <v>0.0279692159379427</v>
      </c>
    </row>
    <row r="13" customFormat="false" ht="15" hidden="false" customHeight="false" outlineLevel="0" collapsed="false">
      <c r="A13" s="3" t="s">
        <v>80</v>
      </c>
      <c r="B13" s="29" t="n">
        <v>0.615</v>
      </c>
      <c r="C13" s="2" t="s">
        <v>81</v>
      </c>
    </row>
  </sheetData>
  <conditionalFormatting sqref="B5:B10">
    <cfRule type="dataBar" priority="2">
      <dataBar showValue="1" minLength="10" maxLength="90">
        <cfvo type="num" val="0.4"/>
        <cfvo type="num" val="0.7"/>
        <color rgb="FF2A6FDB"/>
      </dataBar>
      <extLst>
        <ext xmlns:x14="http://schemas.microsoft.com/office/spreadsheetml/2009/9/main" uri="{B025F937-C7B1-47D3-B67F-A62EFF666E3E}">
          <x14:id>{C0865855-3AB4-4A11-843E-CDF382B5C273}</x14:id>
        </ext>
      </extLst>
    </cfRule>
  </conditionalFormatting>
  <conditionalFormatting sqref="P5:P10">
    <cfRule type="colorScale" priority="3">
      <colorScale>
        <cfvo type="num" val="-0.1"/>
        <cfvo type="num" val="0"/>
        <cfvo type="num" val="0.05"/>
        <color rgb="FFF8C9C4"/>
        <color rgb="FFFFFFFF"/>
        <color rgb="FFB7E1C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865855-3AB4-4A11-843E-CDF382B5C273}">
            <x14:dataBar minLength="10" maxLength="90" axisPosition="none" gradient="true">
              <x14:cfvo type="num">
                <xm:f>0.4</xm:f>
              </x14:cfvo>
              <x14:cfvo type="num">
                <xm:f>0.7</xm:f>
              </x14:cfvo>
              <x14:negativeFillColor rgb="FF2A6FDB"/>
              <x14:axisColor rgb="FF000000"/>
            </x14:dataBar>
          </x14:cfRule>
          <xm:sqref>B5:B10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8" min="2" style="0" width="20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6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88</v>
      </c>
      <c r="G4" s="6" t="s">
        <v>89</v>
      </c>
      <c r="H4" s="6" t="s">
        <v>90</v>
      </c>
    </row>
    <row r="5" customFormat="false" ht="15" hidden="false" customHeight="false" outlineLevel="0" collapsed="false">
      <c r="A5" s="8" t="s">
        <v>72</v>
      </c>
      <c r="B5" s="9" t="n">
        <v>0.531338478458325</v>
      </c>
      <c r="C5" s="9" t="n">
        <v>0.550137994480221</v>
      </c>
      <c r="D5" s="9" t="n">
        <v>0.554167059710772</v>
      </c>
      <c r="E5" s="10" t="n">
        <v>0.0676255013137878</v>
      </c>
      <c r="F5" s="9" t="n">
        <v>0.682834057426716</v>
      </c>
      <c r="G5" s="9" t="n">
        <v>0.553406436986154</v>
      </c>
      <c r="H5" s="9" t="n">
        <v>0.169893514036786</v>
      </c>
    </row>
    <row r="6" customFormat="false" ht="15" hidden="false" customHeight="false" outlineLevel="0" collapsed="false">
      <c r="A6" s="14" t="s">
        <v>74</v>
      </c>
      <c r="B6" s="15" t="n">
        <v>0.519323294649097</v>
      </c>
      <c r="C6" s="15" t="n">
        <v>0.544704264099037</v>
      </c>
      <c r="D6" s="15" t="n">
        <v>0.539837801766277</v>
      </c>
      <c r="E6" s="16" t="n">
        <v>0.0572189185451528</v>
      </c>
      <c r="F6" s="15" t="n">
        <v>0.668252390434324</v>
      </c>
      <c r="G6" s="15" t="n">
        <v>0.532522767719845</v>
      </c>
      <c r="H6" s="15" t="n">
        <v>0.235721200387222</v>
      </c>
    </row>
    <row r="7" customFormat="false" ht="15" hidden="false" customHeight="false" outlineLevel="0" collapsed="false">
      <c r="A7" s="19" t="s">
        <v>75</v>
      </c>
      <c r="B7" s="20" t="n">
        <v>0.631987229486153</v>
      </c>
      <c r="C7" s="20" t="n">
        <v>0.644138289576293</v>
      </c>
      <c r="D7" s="20" t="n">
        <v>0.641163968224405</v>
      </c>
      <c r="E7" s="21" t="n">
        <v>0.0473309362467155</v>
      </c>
      <c r="F7" s="20" t="n">
        <v>0.769557562348737</v>
      </c>
      <c r="G7" s="20" t="n">
        <v>0.676098547379229</v>
      </c>
      <c r="H7" s="20" t="n">
        <v>0.304937076476283</v>
      </c>
    </row>
    <row r="8" customFormat="false" ht="15" hidden="false" customHeight="false" outlineLevel="0" collapsed="false">
      <c r="A8" s="14" t="s">
        <v>77</v>
      </c>
      <c r="B8" s="15" t="n">
        <v>0.609458540503797</v>
      </c>
      <c r="C8" s="15" t="n">
        <v>0.623390557939914</v>
      </c>
      <c r="D8" s="15" t="n">
        <v>0.6201060261437</v>
      </c>
      <c r="E8" s="16" t="n">
        <v>0.0485410040105103</v>
      </c>
      <c r="F8" s="15" t="n">
        <v>0.7447335019265</v>
      </c>
      <c r="G8" s="15" t="n">
        <v>0.646959418071896</v>
      </c>
      <c r="H8" s="15" t="n">
        <v>0.287996127783156</v>
      </c>
    </row>
    <row r="9" customFormat="false" ht="15" hidden="false" customHeight="false" outlineLevel="0" collapsed="false">
      <c r="A9" s="8" t="s">
        <v>78</v>
      </c>
      <c r="B9" s="9" t="n">
        <v>0.617105917837761</v>
      </c>
      <c r="C9" s="9" t="n">
        <v>0.632723415539645</v>
      </c>
      <c r="D9" s="9" t="n">
        <v>0.629428137241756</v>
      </c>
      <c r="E9" s="10" t="n">
        <v>0.0478841100815931</v>
      </c>
      <c r="F9" s="9" t="n">
        <v>0.762575025598361</v>
      </c>
      <c r="G9" s="9" t="n">
        <v>0.671962217055909</v>
      </c>
      <c r="H9" s="9" t="n">
        <v>0.302032913843175</v>
      </c>
    </row>
    <row r="10" customFormat="false" ht="15" hidden="false" customHeight="false" outlineLevel="0" collapsed="false">
      <c r="A10" s="24" t="s">
        <v>79</v>
      </c>
      <c r="B10" s="25" t="n">
        <v>0.640889456320737</v>
      </c>
      <c r="C10" s="25" t="n">
        <v>0.656228540035709</v>
      </c>
      <c r="D10" s="25" t="n">
        <v>0.650839648042927</v>
      </c>
      <c r="E10" s="26" t="n">
        <v>0.043268565896833</v>
      </c>
      <c r="F10" s="25" t="n">
        <v>0.785577030175439</v>
      </c>
      <c r="G10" s="25" t="n">
        <v>0.711073819307522</v>
      </c>
      <c r="H10" s="25" t="n">
        <v>0.330590513068732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1"/>
    <col collapsed="false" customWidth="true" hidden="false" outlineLevel="0" max="8" min="4" style="0" width="20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6" t="s">
        <v>83</v>
      </c>
      <c r="B4" s="6" t="s">
        <v>93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  <c r="H4" s="6" t="s">
        <v>99</v>
      </c>
      <c r="I4" s="6" t="s">
        <v>100</v>
      </c>
    </row>
    <row r="5" customFormat="false" ht="15" hidden="false" customHeight="false" outlineLevel="0" collapsed="false">
      <c r="A5" s="8" t="s">
        <v>72</v>
      </c>
      <c r="B5" s="8" t="s">
        <v>101</v>
      </c>
      <c r="C5" s="8" t="s">
        <v>102</v>
      </c>
      <c r="D5" s="9" t="n">
        <v>0.531338478458325</v>
      </c>
      <c r="E5" s="9" t="n">
        <v>0.54191802495305</v>
      </c>
      <c r="F5" s="9" t="n">
        <v>0.550137994480221</v>
      </c>
      <c r="G5" s="9" t="n">
        <v>0.557610568638713</v>
      </c>
      <c r="H5" s="10" t="n">
        <v>0.0665388071048448</v>
      </c>
      <c r="I5" s="9" t="n">
        <v>-0.010579546494725</v>
      </c>
    </row>
    <row r="6" customFormat="false" ht="15" hidden="false" customHeight="false" outlineLevel="0" collapsed="false">
      <c r="A6" s="14" t="s">
        <v>72</v>
      </c>
      <c r="B6" s="14" t="s">
        <v>103</v>
      </c>
      <c r="C6" s="14" t="s">
        <v>104</v>
      </c>
      <c r="D6" s="15" t="n">
        <v>0.539501978591862</v>
      </c>
      <c r="E6" s="15" t="n">
        <v>0.537711382469793</v>
      </c>
      <c r="F6" s="15" t="n">
        <v>0.56</v>
      </c>
      <c r="G6" s="15" t="n">
        <v>0.554450329414804</v>
      </c>
      <c r="H6" s="16" t="n">
        <v>0.0595929228004699</v>
      </c>
      <c r="I6" s="15" t="n">
        <v>0.0017905961220695</v>
      </c>
    </row>
    <row r="7" customFormat="false" ht="15" hidden="false" customHeight="false" outlineLevel="0" collapsed="false">
      <c r="A7" s="8" t="s">
        <v>72</v>
      </c>
      <c r="B7" s="8" t="s">
        <v>105</v>
      </c>
      <c r="C7" s="8" t="s">
        <v>106</v>
      </c>
      <c r="D7" s="9" t="n">
        <v>0.555455159169382</v>
      </c>
      <c r="E7" s="9" t="n">
        <v>0.539495145983089</v>
      </c>
      <c r="F7" s="9" t="n">
        <v>0.559755092429059</v>
      </c>
      <c r="G7" s="9" t="n">
        <v>0.545818610129564</v>
      </c>
      <c r="H7" s="10" t="n">
        <v>0.0666251987006704</v>
      </c>
      <c r="I7" s="9" t="n">
        <v>0.0159600131862921</v>
      </c>
    </row>
    <row r="8" customFormat="false" ht="15" hidden="false" customHeight="false" outlineLevel="0" collapsed="false">
      <c r="A8" s="14" t="s">
        <v>74</v>
      </c>
      <c r="B8" s="14" t="s">
        <v>101</v>
      </c>
      <c r="C8" s="14" t="s">
        <v>102</v>
      </c>
      <c r="D8" s="15" t="n">
        <v>0.519323294649097</v>
      </c>
      <c r="E8" s="15" t="n">
        <v>0.512227798918337</v>
      </c>
      <c r="F8" s="15" t="n">
        <v>0.544704264099037</v>
      </c>
      <c r="G8" s="15" t="n">
        <v>0.532981530343008</v>
      </c>
      <c r="H8" s="16" t="n">
        <v>0.0581069873522703</v>
      </c>
      <c r="I8" s="15" t="n">
        <v>0.0070954957307606</v>
      </c>
    </row>
    <row r="9" customFormat="false" ht="15" hidden="false" customHeight="false" outlineLevel="0" collapsed="false">
      <c r="A9" s="8" t="s">
        <v>74</v>
      </c>
      <c r="B9" s="8" t="s">
        <v>103</v>
      </c>
      <c r="C9" s="8" t="s">
        <v>107</v>
      </c>
      <c r="D9" s="9" t="n">
        <v>0.523910165281006</v>
      </c>
      <c r="E9" s="9" t="n">
        <v>0.52384632107238</v>
      </c>
      <c r="F9" s="9" t="n">
        <v>0.547115504943061</v>
      </c>
      <c r="G9" s="9" t="n">
        <v>0.541197316795342</v>
      </c>
      <c r="H9" s="10" t="n">
        <v>0.0626339069735296</v>
      </c>
      <c r="I9" s="9" t="n">
        <v>6.38442086267066E-005</v>
      </c>
    </row>
    <row r="10" customFormat="false" ht="15" hidden="false" customHeight="false" outlineLevel="0" collapsed="false">
      <c r="A10" s="14" t="s">
        <v>74</v>
      </c>
      <c r="B10" s="14" t="s">
        <v>105</v>
      </c>
      <c r="C10" s="14" t="s">
        <v>106</v>
      </c>
      <c r="D10" s="15" t="n">
        <v>0.541935007959068</v>
      </c>
      <c r="E10" s="15" t="n">
        <v>0.517821951688217</v>
      </c>
      <c r="F10" s="15" t="n">
        <v>0.557956278596848</v>
      </c>
      <c r="G10" s="15" t="n">
        <v>0.533606977937404</v>
      </c>
      <c r="H10" s="16" t="n">
        <v>0.0628239684843458</v>
      </c>
      <c r="I10" s="15" t="n">
        <v>0.0241130562708503</v>
      </c>
    </row>
    <row r="11" customFormat="false" ht="15" hidden="false" customHeight="false" outlineLevel="0" collapsed="false">
      <c r="A11" s="19" t="s">
        <v>75</v>
      </c>
      <c r="B11" s="19" t="s">
        <v>101</v>
      </c>
      <c r="C11" s="19" t="s">
        <v>102</v>
      </c>
      <c r="D11" s="20" t="n">
        <v>0.631987229486153</v>
      </c>
      <c r="E11" s="20" t="n">
        <v>0.629157077242284</v>
      </c>
      <c r="F11" s="20" t="n">
        <v>0.644138289576293</v>
      </c>
      <c r="G11" s="20" t="n">
        <v>0.646105999740832</v>
      </c>
      <c r="H11" s="21" t="n">
        <v>0.0471870896399198</v>
      </c>
      <c r="I11" s="20" t="n">
        <v>0.0028301522438691</v>
      </c>
    </row>
    <row r="12" customFormat="false" ht="15" hidden="false" customHeight="false" outlineLevel="0" collapsed="false">
      <c r="A12" s="14" t="s">
        <v>75</v>
      </c>
      <c r="B12" s="14" t="s">
        <v>103</v>
      </c>
      <c r="C12" s="14" t="s">
        <v>108</v>
      </c>
      <c r="D12" s="15" t="n">
        <v>0.638798043712129</v>
      </c>
      <c r="E12" s="15" t="n">
        <v>0.633005612935205</v>
      </c>
      <c r="F12" s="15" t="n">
        <v>0.646385193753615</v>
      </c>
      <c r="G12" s="15" t="n">
        <v>0.645368143822283</v>
      </c>
      <c r="H12" s="16" t="n">
        <v>0.0535109544543506</v>
      </c>
      <c r="I12" s="15" t="n">
        <v>0.0057924307769248</v>
      </c>
    </row>
    <row r="13" customFormat="false" ht="15" hidden="false" customHeight="false" outlineLevel="0" collapsed="false">
      <c r="A13" s="8" t="s">
        <v>75</v>
      </c>
      <c r="B13" s="8" t="s">
        <v>105</v>
      </c>
      <c r="C13" s="8" t="s">
        <v>106</v>
      </c>
      <c r="D13" s="9" t="n">
        <v>0.655179704639051</v>
      </c>
      <c r="E13" s="9" t="n">
        <v>0.633611245962104</v>
      </c>
      <c r="F13" s="9" t="n">
        <v>0.660079527653934</v>
      </c>
      <c r="G13" s="9" t="n">
        <v>0.647432060337603</v>
      </c>
      <c r="H13" s="10" t="n">
        <v>0.0508846499412537</v>
      </c>
      <c r="I13" s="9" t="n">
        <v>0.0215684586769469</v>
      </c>
    </row>
    <row r="14" customFormat="false" ht="15" hidden="false" customHeight="false" outlineLevel="0" collapsed="false">
      <c r="A14" s="14" t="s">
        <v>77</v>
      </c>
      <c r="B14" s="14" t="s">
        <v>101</v>
      </c>
      <c r="C14" s="14" t="s">
        <v>102</v>
      </c>
      <c r="D14" s="15" t="n">
        <v>0.609458540503797</v>
      </c>
      <c r="E14" s="15" t="n">
        <v>0.613289462259427</v>
      </c>
      <c r="F14" s="15" t="n">
        <v>0.623390557939914</v>
      </c>
      <c r="G14" s="15" t="n">
        <v>0.63163440010536</v>
      </c>
      <c r="H14" s="16" t="n">
        <v>0.0483274587048171</v>
      </c>
      <c r="I14" s="15" t="n">
        <v>-0.0038309217556298</v>
      </c>
    </row>
    <row r="15" customFormat="false" ht="15" hidden="false" customHeight="false" outlineLevel="0" collapsed="false">
      <c r="A15" s="8" t="s">
        <v>77</v>
      </c>
      <c r="B15" s="8" t="s">
        <v>103</v>
      </c>
      <c r="C15" s="8" t="s">
        <v>109</v>
      </c>
      <c r="D15" s="9" t="n">
        <v>0.617053198700941</v>
      </c>
      <c r="E15" s="9" t="n">
        <v>0.616392573394666</v>
      </c>
      <c r="F15" s="9" t="n">
        <v>0.629353233830846</v>
      </c>
      <c r="G15" s="9" t="n">
        <v>0.633308805494236</v>
      </c>
      <c r="H15" s="10" t="n">
        <v>0.0516621743036837</v>
      </c>
      <c r="I15" s="9" t="n">
        <v>0.0006606253062745</v>
      </c>
    </row>
    <row r="16" customFormat="false" ht="15" hidden="false" customHeight="false" outlineLevel="0" collapsed="false">
      <c r="A16" s="14" t="s">
        <v>77</v>
      </c>
      <c r="B16" s="14" t="s">
        <v>105</v>
      </c>
      <c r="C16" s="14" t="s">
        <v>106</v>
      </c>
      <c r="D16" s="15" t="n">
        <v>0.634421391779654</v>
      </c>
      <c r="E16" s="15" t="n">
        <v>0.6125202801879</v>
      </c>
      <c r="F16" s="15" t="n">
        <v>0.639312515129509</v>
      </c>
      <c r="G16" s="15" t="n">
        <v>0.625179856115108</v>
      </c>
      <c r="H16" s="16" t="n">
        <v>0.0540120257101389</v>
      </c>
      <c r="I16" s="15" t="n">
        <v>0.021901111591754</v>
      </c>
    </row>
    <row r="17" customFormat="false" ht="15" hidden="false" customHeight="false" outlineLevel="0" collapsed="false">
      <c r="A17" s="8" t="s">
        <v>78</v>
      </c>
      <c r="B17" s="8" t="s">
        <v>101</v>
      </c>
      <c r="C17" s="8" t="s">
        <v>102</v>
      </c>
      <c r="D17" s="9" t="n">
        <v>0.617105917837761</v>
      </c>
      <c r="E17" s="9" t="n">
        <v>0.620369448634895</v>
      </c>
      <c r="F17" s="9" t="n">
        <v>0.632723415539645</v>
      </c>
      <c r="G17" s="9" t="n">
        <v>0.642303141843039</v>
      </c>
      <c r="H17" s="10" t="n">
        <v>0.0470143064482687</v>
      </c>
      <c r="I17" s="9" t="n">
        <v>-0.0032635307971348</v>
      </c>
    </row>
    <row r="18" customFormat="false" ht="15" hidden="false" customHeight="false" outlineLevel="0" collapsed="false">
      <c r="A18" s="14" t="s">
        <v>78</v>
      </c>
      <c r="B18" s="14" t="s">
        <v>103</v>
      </c>
      <c r="C18" s="14" t="s">
        <v>110</v>
      </c>
      <c r="D18" s="15" t="n">
        <v>0.623212565012767</v>
      </c>
      <c r="E18" s="15" t="n">
        <v>0.625485926668747</v>
      </c>
      <c r="F18" s="15" t="n">
        <v>0.635892372253765</v>
      </c>
      <c r="G18" s="15" t="n">
        <v>0.645018992770494</v>
      </c>
      <c r="H18" s="16" t="n">
        <v>0.0500552906213283</v>
      </c>
      <c r="I18" s="15" t="n">
        <v>-0.0022733616559801</v>
      </c>
    </row>
    <row r="19" customFormat="false" ht="15" hidden="false" customHeight="false" outlineLevel="0" collapsed="false">
      <c r="A19" s="8" t="s">
        <v>78</v>
      </c>
      <c r="B19" s="8" t="s">
        <v>105</v>
      </c>
      <c r="C19" s="8" t="s">
        <v>106</v>
      </c>
      <c r="D19" s="9" t="n">
        <v>0.643554494034327</v>
      </c>
      <c r="E19" s="9" t="n">
        <v>0.622653646112526</v>
      </c>
      <c r="F19" s="9" t="n">
        <v>0.648813146682897</v>
      </c>
      <c r="G19" s="9" t="n">
        <v>0.642263696568332</v>
      </c>
      <c r="H19" s="10" t="n">
        <v>0.0513338862395466</v>
      </c>
      <c r="I19" s="9" t="n">
        <v>0.0209008479218014</v>
      </c>
    </row>
    <row r="20" customFormat="false" ht="15" hidden="false" customHeight="false" outlineLevel="0" collapsed="false">
      <c r="A20" s="14" t="s">
        <v>79</v>
      </c>
      <c r="B20" s="14" t="s">
        <v>101</v>
      </c>
      <c r="C20" s="14" t="s">
        <v>102</v>
      </c>
      <c r="D20" s="15" t="n">
        <v>0.640889456320737</v>
      </c>
      <c r="E20" s="15" t="n">
        <v>0.642969215937943</v>
      </c>
      <c r="F20" s="15" t="n">
        <v>0.656228540035709</v>
      </c>
      <c r="G20" s="15" t="n">
        <v>0.663595718737299</v>
      </c>
      <c r="H20" s="16" t="n">
        <v>0.0429020664869721</v>
      </c>
      <c r="I20" s="15" t="n">
        <v>-0.0020797596172057</v>
      </c>
    </row>
    <row r="21" customFormat="false" ht="15" hidden="false" customHeight="false" outlineLevel="0" collapsed="false">
      <c r="A21" s="24" t="s">
        <v>79</v>
      </c>
      <c r="B21" s="24" t="s">
        <v>103</v>
      </c>
      <c r="C21" s="24" t="s">
        <v>111</v>
      </c>
      <c r="D21" s="25" t="n">
        <v>0.65477037196305</v>
      </c>
      <c r="E21" s="25" t="n">
        <v>0.652889341163102</v>
      </c>
      <c r="F21" s="25" t="n">
        <v>0.665313432835821</v>
      </c>
      <c r="G21" s="25" t="n">
        <v>0.668635558180744</v>
      </c>
      <c r="H21" s="26" t="n">
        <v>0.048465685258138</v>
      </c>
      <c r="I21" s="25" t="n">
        <v>0.0018810307999472</v>
      </c>
    </row>
    <row r="22" customFormat="false" ht="15" hidden="false" customHeight="false" outlineLevel="0" collapsed="false">
      <c r="A22" s="14" t="s">
        <v>79</v>
      </c>
      <c r="B22" s="14" t="s">
        <v>105</v>
      </c>
      <c r="C22" s="14" t="s">
        <v>106</v>
      </c>
      <c r="D22" s="15" t="n">
        <v>0.669399240185714</v>
      </c>
      <c r="E22" s="15" t="n">
        <v>0.648844963321743</v>
      </c>
      <c r="F22" s="15" t="n">
        <v>0.674896113419702</v>
      </c>
      <c r="G22" s="15" t="n">
        <v>0.665374363944754</v>
      </c>
      <c r="H22" s="16" t="n">
        <v>0.0477227175340382</v>
      </c>
      <c r="I22" s="15" t="n">
        <v>0.0205542768639709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7"/>
    <col collapsed="false" customWidth="true" hidden="false" outlineLevel="0" max="4" min="3" style="0" width="20"/>
    <col collapsed="false" customWidth="true" hidden="false" outlineLevel="0" max="5" min="5" style="0" width="44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6" t="s">
        <v>83</v>
      </c>
      <c r="B4" s="6" t="s">
        <v>114</v>
      </c>
      <c r="C4" s="6" t="s">
        <v>96</v>
      </c>
      <c r="D4" s="6" t="s">
        <v>98</v>
      </c>
      <c r="E4" s="6" t="s">
        <v>115</v>
      </c>
      <c r="F4" s="30" t="s">
        <v>116</v>
      </c>
    </row>
    <row r="5" customFormat="false" ht="15" hidden="false" customHeight="false" outlineLevel="0" collapsed="false">
      <c r="A5" s="8" t="s">
        <v>117</v>
      </c>
      <c r="B5" s="8" t="s">
        <v>118</v>
      </c>
      <c r="C5" s="31" t="n">
        <v>0.5633</v>
      </c>
      <c r="D5" s="31" t="n">
        <v>0.574</v>
      </c>
      <c r="E5" s="8" t="s">
        <v>119</v>
      </c>
      <c r="F5" s="13" t="n">
        <f aca="false">C5-$C$8</f>
        <v>-0.0517</v>
      </c>
    </row>
    <row r="6" customFormat="false" ht="15" hidden="false" customHeight="false" outlineLevel="0" collapsed="false">
      <c r="A6" s="14" t="s">
        <v>120</v>
      </c>
      <c r="B6" s="14" t="s">
        <v>118</v>
      </c>
      <c r="C6" s="32" t="n">
        <v>0.5931</v>
      </c>
      <c r="D6" s="32" t="n">
        <v>0.6042</v>
      </c>
      <c r="E6" s="14" t="s">
        <v>119</v>
      </c>
      <c r="F6" s="13" t="n">
        <f aca="false">C6-$C$8</f>
        <v>-0.0219</v>
      </c>
    </row>
    <row r="7" customFormat="false" ht="15" hidden="false" customHeight="false" outlineLevel="0" collapsed="false">
      <c r="A7" s="8" t="s">
        <v>121</v>
      </c>
      <c r="B7" s="8" t="s">
        <v>118</v>
      </c>
      <c r="C7" s="31" t="n">
        <v>0.6117</v>
      </c>
      <c r="D7" s="31" t="n">
        <v>0.6247</v>
      </c>
      <c r="E7" s="8" t="s">
        <v>119</v>
      </c>
      <c r="F7" s="13" t="n">
        <f aca="false">C7-$C$8</f>
        <v>-0.00329999999999997</v>
      </c>
    </row>
    <row r="8" customFormat="false" ht="15" hidden="false" customHeight="false" outlineLevel="0" collapsed="false">
      <c r="A8" s="14" t="s">
        <v>122</v>
      </c>
      <c r="B8" s="14" t="s">
        <v>118</v>
      </c>
      <c r="C8" s="32" t="n">
        <v>0.615</v>
      </c>
      <c r="D8" s="32" t="n">
        <v>0.6346</v>
      </c>
      <c r="E8" s="14" t="s">
        <v>119</v>
      </c>
      <c r="F8" s="13" t="n">
        <f aca="false">C8-$C$8</f>
        <v>0</v>
      </c>
    </row>
    <row r="9" customFormat="false" ht="15" hidden="false" customHeight="false" outlineLevel="0" collapsed="false">
      <c r="A9" s="8" t="s">
        <v>123</v>
      </c>
      <c r="B9" s="8" t="s">
        <v>124</v>
      </c>
      <c r="C9" s="9" t="n">
        <v>0.54191802495305</v>
      </c>
      <c r="D9" s="9" t="n">
        <v>0.557610568638713</v>
      </c>
      <c r="E9" s="8" t="s">
        <v>125</v>
      </c>
      <c r="F9" s="13" t="n">
        <f aca="false">C9-$C$8</f>
        <v>-0.0730819750469501</v>
      </c>
    </row>
    <row r="10" customFormat="false" ht="15" hidden="false" customHeight="false" outlineLevel="0" collapsed="false">
      <c r="A10" s="14" t="s">
        <v>123</v>
      </c>
      <c r="B10" s="14" t="s">
        <v>126</v>
      </c>
      <c r="C10" s="15" t="n">
        <v>0.539495145983089</v>
      </c>
      <c r="D10" s="15" t="n">
        <v>0.545818610129564</v>
      </c>
      <c r="E10" s="14" t="s">
        <v>125</v>
      </c>
      <c r="F10" s="13" t="n">
        <f aca="false">C10-$C$8</f>
        <v>-0.0755048540169107</v>
      </c>
    </row>
    <row r="11" customFormat="false" ht="15" hidden="false" customHeight="false" outlineLevel="0" collapsed="false">
      <c r="A11" s="8" t="s">
        <v>127</v>
      </c>
      <c r="B11" s="8" t="s">
        <v>124</v>
      </c>
      <c r="C11" s="9" t="n">
        <v>0.512227798918337</v>
      </c>
      <c r="D11" s="9" t="n">
        <v>0.532981530343008</v>
      </c>
      <c r="E11" s="8" t="s">
        <v>125</v>
      </c>
      <c r="F11" s="13" t="n">
        <f aca="false">C11-$C$8</f>
        <v>-0.102772201081663</v>
      </c>
    </row>
    <row r="12" customFormat="false" ht="15" hidden="false" customHeight="false" outlineLevel="0" collapsed="false">
      <c r="A12" s="14" t="s">
        <v>127</v>
      </c>
      <c r="B12" s="14" t="s">
        <v>126</v>
      </c>
      <c r="C12" s="15" t="n">
        <v>0.517821951688217</v>
      </c>
      <c r="D12" s="15" t="n">
        <v>0.533606977937404</v>
      </c>
      <c r="E12" s="14" t="s">
        <v>125</v>
      </c>
      <c r="F12" s="13" t="n">
        <f aca="false">C12-$C$8</f>
        <v>-0.0971780483117827</v>
      </c>
    </row>
    <row r="13" customFormat="false" ht="15" hidden="false" customHeight="false" outlineLevel="0" collapsed="false">
      <c r="A13" s="8" t="s">
        <v>128</v>
      </c>
      <c r="B13" s="8" t="s">
        <v>124</v>
      </c>
      <c r="C13" s="9" t="n">
        <v>0.629157077242284</v>
      </c>
      <c r="D13" s="9" t="n">
        <v>0.646105999740832</v>
      </c>
      <c r="E13" s="8" t="s">
        <v>125</v>
      </c>
      <c r="F13" s="13" t="n">
        <f aca="false">C13-$C$8</f>
        <v>0.0141570772422841</v>
      </c>
    </row>
    <row r="14" customFormat="false" ht="15" hidden="false" customHeight="false" outlineLevel="0" collapsed="false">
      <c r="A14" s="14" t="s">
        <v>128</v>
      </c>
      <c r="B14" s="14" t="s">
        <v>126</v>
      </c>
      <c r="C14" s="15" t="n">
        <v>0.633611245962104</v>
      </c>
      <c r="D14" s="15" t="n">
        <v>0.647432060337603</v>
      </c>
      <c r="E14" s="14" t="s">
        <v>125</v>
      </c>
      <c r="F14" s="13" t="n">
        <f aca="false">C14-$C$8</f>
        <v>0.0186112459621044</v>
      </c>
    </row>
    <row r="15" customFormat="false" ht="15" hidden="false" customHeight="false" outlineLevel="0" collapsed="false">
      <c r="A15" s="8" t="s">
        <v>129</v>
      </c>
      <c r="B15" s="8" t="s">
        <v>124</v>
      </c>
      <c r="C15" s="9" t="n">
        <v>0.613289462259427</v>
      </c>
      <c r="D15" s="9" t="n">
        <v>0.63163440010536</v>
      </c>
      <c r="E15" s="8" t="s">
        <v>125</v>
      </c>
      <c r="F15" s="13" t="n">
        <f aca="false">C15-$C$8</f>
        <v>-0.00171053774057295</v>
      </c>
    </row>
    <row r="16" customFormat="false" ht="15" hidden="false" customHeight="false" outlineLevel="0" collapsed="false">
      <c r="A16" s="14" t="s">
        <v>129</v>
      </c>
      <c r="B16" s="14" t="s">
        <v>126</v>
      </c>
      <c r="C16" s="15" t="n">
        <v>0.6125202801879</v>
      </c>
      <c r="D16" s="15" t="n">
        <v>0.625179856115108</v>
      </c>
      <c r="E16" s="14" t="s">
        <v>125</v>
      </c>
      <c r="F16" s="13" t="n">
        <f aca="false">C16-$C$8</f>
        <v>-0.00247971981210027</v>
      </c>
    </row>
    <row r="17" customFormat="false" ht="15" hidden="false" customHeight="false" outlineLevel="0" collapsed="false">
      <c r="A17" s="8" t="s">
        <v>130</v>
      </c>
      <c r="B17" s="8" t="s">
        <v>124</v>
      </c>
      <c r="C17" s="9" t="n">
        <v>0.620369448634895</v>
      </c>
      <c r="D17" s="9" t="n">
        <v>0.642303141843039</v>
      </c>
      <c r="E17" s="8" t="s">
        <v>125</v>
      </c>
      <c r="F17" s="13" t="n">
        <f aca="false">C17-$C$8</f>
        <v>0.00536944863489541</v>
      </c>
    </row>
    <row r="18" customFormat="false" ht="15" hidden="false" customHeight="false" outlineLevel="0" collapsed="false">
      <c r="A18" s="14" t="s">
        <v>130</v>
      </c>
      <c r="B18" s="14" t="s">
        <v>126</v>
      </c>
      <c r="C18" s="15" t="n">
        <v>0.622653646112526</v>
      </c>
      <c r="D18" s="15" t="n">
        <v>0.642263696568332</v>
      </c>
      <c r="E18" s="14" t="s">
        <v>125</v>
      </c>
      <c r="F18" s="13" t="n">
        <f aca="false">C18-$C$8</f>
        <v>0.00765364611252561</v>
      </c>
    </row>
    <row r="19" customFormat="false" ht="15" hidden="false" customHeight="false" outlineLevel="0" collapsed="false">
      <c r="A19" s="8" t="s">
        <v>131</v>
      </c>
      <c r="B19" s="8" t="s">
        <v>124</v>
      </c>
      <c r="C19" s="9" t="n">
        <v>0.642969215937943</v>
      </c>
      <c r="D19" s="9" t="n">
        <v>0.663595718737299</v>
      </c>
      <c r="E19" s="8" t="s">
        <v>125</v>
      </c>
      <c r="F19" s="13" t="n">
        <f aca="false">C19-$C$8</f>
        <v>0.0279692159379427</v>
      </c>
    </row>
    <row r="20" customFormat="false" ht="15" hidden="false" customHeight="false" outlineLevel="0" collapsed="false">
      <c r="A20" s="14" t="s">
        <v>131</v>
      </c>
      <c r="B20" s="14" t="s">
        <v>126</v>
      </c>
      <c r="C20" s="15" t="n">
        <v>0.648844963321743</v>
      </c>
      <c r="D20" s="15" t="n">
        <v>0.665374363944754</v>
      </c>
      <c r="E20" s="14" t="s">
        <v>125</v>
      </c>
      <c r="F20" s="13" t="n">
        <f aca="false">C20-$C$8</f>
        <v>0.033844963321743</v>
      </c>
    </row>
  </sheetData>
  <conditionalFormatting sqref="C5:C20">
    <cfRule type="dataBar" priority="2">
      <dataBar showValue="1" minLength="10" maxLength="90">
        <cfvo type="num" val="0.5"/>
        <cfvo type="num" val="0.67"/>
        <color rgb="FFE07A1F"/>
      </dataBar>
      <extLst>
        <ext xmlns:x14="http://schemas.microsoft.com/office/spreadsheetml/2009/9/main" uri="{B025F937-C7B1-47D3-B67F-A62EFF666E3E}">
          <x14:id>{1E4F8B15-1690-42CE-9E88-D0A242B731F4}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4F8B15-1690-42CE-9E88-D0A242B731F4}">
            <x14:dataBar minLength="10" maxLength="90" axisPosition="none" gradient="true">
              <x14:cfvo type="num">
                <xm:f>0.5</xm:f>
              </x14:cfvo>
              <x14:cfvo type="num">
                <xm:f>0.67</xm:f>
              </x14:cfvo>
              <x14:negativeFillColor rgb="FFE07A1F"/>
              <x14:axisColor rgb="FF000000"/>
            </x14:dataBar>
          </x14:cfRule>
          <xm:sqref>C5:C20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A1F"/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7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6" t="s">
        <v>134</v>
      </c>
      <c r="B4" s="6" t="s">
        <v>135</v>
      </c>
      <c r="C4" s="6" t="s">
        <v>136</v>
      </c>
      <c r="D4" s="6" t="s">
        <v>137</v>
      </c>
      <c r="E4" s="6" t="s">
        <v>72</v>
      </c>
      <c r="F4" s="6" t="s">
        <v>74</v>
      </c>
      <c r="G4" s="6" t="s">
        <v>75</v>
      </c>
      <c r="H4" s="6" t="s">
        <v>77</v>
      </c>
      <c r="I4" s="6" t="s">
        <v>78</v>
      </c>
      <c r="J4" s="6" t="s">
        <v>79</v>
      </c>
      <c r="K4" s="30" t="s">
        <v>138</v>
      </c>
    </row>
    <row r="5" customFormat="false" ht="15" hidden="false" customHeight="false" outlineLevel="0" collapsed="false">
      <c r="A5" s="8" t="s">
        <v>139</v>
      </c>
      <c r="B5" s="11" t="n">
        <v>2868</v>
      </c>
      <c r="C5" s="8" t="s">
        <v>140</v>
      </c>
      <c r="D5" s="11" t="n">
        <v>374</v>
      </c>
      <c r="E5" s="33" t="n">
        <v>0.7285</v>
      </c>
      <c r="F5" s="33" t="n">
        <v>0.6857</v>
      </c>
      <c r="G5" s="33" t="n">
        <v>0.7664</v>
      </c>
      <c r="H5" s="33" t="n">
        <v>0.7414</v>
      </c>
      <c r="I5" s="33" t="n">
        <v>0.7664</v>
      </c>
      <c r="J5" s="11" t="n">
        <v>0.777</v>
      </c>
      <c r="K5" s="34" t="str">
        <f aca="false">INDEX($E$4:$J$4,MATCH(MAX(E5:J5),E5:J5,0))</f>
        <v>Ensemble (3)</v>
      </c>
    </row>
    <row r="6" customFormat="false" ht="15" hidden="false" customHeight="false" outlineLevel="0" collapsed="false">
      <c r="A6" s="14" t="s">
        <v>141</v>
      </c>
      <c r="B6" s="17" t="n">
        <v>824</v>
      </c>
      <c r="C6" s="14" t="s">
        <v>142</v>
      </c>
      <c r="D6" s="17" t="n">
        <v>98</v>
      </c>
      <c r="E6" s="35" t="n">
        <v>0.4589</v>
      </c>
      <c r="F6" s="35" t="n">
        <v>0.3797</v>
      </c>
      <c r="G6" s="35" t="n">
        <v>0.5816</v>
      </c>
      <c r="H6" s="35" t="n">
        <v>0.5029</v>
      </c>
      <c r="I6" s="35" t="n">
        <v>0.4667</v>
      </c>
      <c r="J6" s="17" t="n">
        <v>0.5698</v>
      </c>
      <c r="K6" s="34" t="str">
        <f aca="false">INDEX($E$4:$J$4,MATCH(MAX(E6:J6),E6:J6,0))</f>
        <v>PhoBERT-base-v2</v>
      </c>
    </row>
    <row r="7" customFormat="false" ht="15" hidden="false" customHeight="false" outlineLevel="0" collapsed="false">
      <c r="A7" s="8" t="s">
        <v>143</v>
      </c>
      <c r="B7" s="11" t="n">
        <v>1614</v>
      </c>
      <c r="C7" s="8" t="s">
        <v>140</v>
      </c>
      <c r="D7" s="11" t="n">
        <v>204</v>
      </c>
      <c r="E7" s="33" t="n">
        <v>0.5523</v>
      </c>
      <c r="F7" s="33" t="n">
        <v>0.5187</v>
      </c>
      <c r="G7" s="33" t="n">
        <v>0.6123</v>
      </c>
      <c r="H7" s="33" t="n">
        <v>0.6127</v>
      </c>
      <c r="I7" s="33" t="n">
        <v>0.6118</v>
      </c>
      <c r="J7" s="11" t="n">
        <v>0.6318</v>
      </c>
      <c r="K7" s="34" t="str">
        <f aca="false">INDEX($E$4:$J$4,MATCH(MAX(E7:J7),E7:J7,0))</f>
        <v>Ensemble (3)</v>
      </c>
    </row>
    <row r="8" customFormat="false" ht="15" hidden="false" customHeight="false" outlineLevel="0" collapsed="false">
      <c r="A8" s="14" t="s">
        <v>144</v>
      </c>
      <c r="B8" s="17" t="n">
        <v>1175</v>
      </c>
      <c r="C8" s="14" t="s">
        <v>140</v>
      </c>
      <c r="D8" s="17" t="n">
        <v>143</v>
      </c>
      <c r="E8" s="35" t="n">
        <v>0.6646</v>
      </c>
      <c r="F8" s="35" t="n">
        <v>0.6737</v>
      </c>
      <c r="G8" s="35" t="n">
        <v>0.7205</v>
      </c>
      <c r="H8" s="35" t="n">
        <v>0.7483</v>
      </c>
      <c r="I8" s="35" t="n">
        <v>0.732</v>
      </c>
      <c r="J8" s="17" t="n">
        <v>0.7639</v>
      </c>
      <c r="K8" s="34" t="str">
        <f aca="false">INDEX($E$4:$J$4,MATCH(MAX(E8:J8),E8:J8,0))</f>
        <v>Ensemble (3)</v>
      </c>
    </row>
    <row r="9" customFormat="false" ht="15" hidden="false" customHeight="false" outlineLevel="0" collapsed="false">
      <c r="A9" s="8" t="s">
        <v>145</v>
      </c>
      <c r="B9" s="11" t="n">
        <v>762</v>
      </c>
      <c r="C9" s="8" t="s">
        <v>146</v>
      </c>
      <c r="D9" s="11" t="n">
        <v>80</v>
      </c>
      <c r="E9" s="33" t="n">
        <v>0.4577</v>
      </c>
      <c r="F9" s="33" t="n">
        <v>0.4</v>
      </c>
      <c r="G9" s="33" t="n">
        <v>0.5091</v>
      </c>
      <c r="H9" s="33" t="n">
        <v>0.5399</v>
      </c>
      <c r="I9" s="33" t="n">
        <v>0.5369</v>
      </c>
      <c r="J9" s="11" t="n">
        <v>0.5563</v>
      </c>
      <c r="K9" s="34" t="str">
        <f aca="false">INDEX($E$4:$J$4,MATCH(MAX(E9:J9),E9:J9,0))</f>
        <v>Ensemble (3)</v>
      </c>
    </row>
    <row r="10" customFormat="false" ht="15" hidden="false" customHeight="false" outlineLevel="0" collapsed="false">
      <c r="A10" s="14" t="s">
        <v>147</v>
      </c>
      <c r="B10" s="17" t="n">
        <v>1046</v>
      </c>
      <c r="C10" s="14" t="s">
        <v>142</v>
      </c>
      <c r="D10" s="17" t="n">
        <v>142</v>
      </c>
      <c r="E10" s="35" t="n">
        <v>0.6265</v>
      </c>
      <c r="F10" s="35" t="n">
        <v>0.5938</v>
      </c>
      <c r="G10" s="35" t="n">
        <v>0.7609</v>
      </c>
      <c r="H10" s="35" t="n">
        <v>0.6768</v>
      </c>
      <c r="I10" s="35" t="n">
        <v>0.7132</v>
      </c>
      <c r="J10" s="17" t="n">
        <v>0.7444</v>
      </c>
      <c r="K10" s="34" t="str">
        <f aca="false">INDEX($E$4:$J$4,MATCH(MAX(E10:J10),E10:J10,0))</f>
        <v>PhoBERT-base-v2</v>
      </c>
    </row>
    <row r="11" customFormat="false" ht="15" hidden="false" customHeight="false" outlineLevel="0" collapsed="false">
      <c r="A11" s="8" t="s">
        <v>148</v>
      </c>
      <c r="B11" s="11" t="n">
        <v>1062</v>
      </c>
      <c r="C11" s="8" t="s">
        <v>140</v>
      </c>
      <c r="D11" s="11" t="n">
        <v>150</v>
      </c>
      <c r="E11" s="33" t="n">
        <v>0.5774</v>
      </c>
      <c r="F11" s="33" t="n">
        <v>0.556</v>
      </c>
      <c r="G11" s="33" t="n">
        <v>0.6646</v>
      </c>
      <c r="H11" s="33" t="n">
        <v>0.6892</v>
      </c>
      <c r="I11" s="33" t="n">
        <v>0.689</v>
      </c>
      <c r="J11" s="11" t="n">
        <v>0.7095</v>
      </c>
      <c r="K11" s="34" t="str">
        <f aca="false">INDEX($E$4:$J$4,MATCH(MAX(E11:J11),E11:J11,0))</f>
        <v>Ensemble (3)</v>
      </c>
    </row>
    <row r="12" customFormat="false" ht="15" hidden="false" customHeight="false" outlineLevel="0" collapsed="false">
      <c r="A12" s="14" t="s">
        <v>149</v>
      </c>
      <c r="B12" s="17" t="n">
        <v>774</v>
      </c>
      <c r="C12" s="14" t="s">
        <v>142</v>
      </c>
      <c r="D12" s="17" t="n">
        <v>86</v>
      </c>
      <c r="E12" s="35" t="n">
        <v>0.6818</v>
      </c>
      <c r="F12" s="35" t="n">
        <v>0.6494</v>
      </c>
      <c r="G12" s="35" t="n">
        <v>0.719</v>
      </c>
      <c r="H12" s="35" t="n">
        <v>0.7051</v>
      </c>
      <c r="I12" s="35" t="n">
        <v>0.7241</v>
      </c>
      <c r="J12" s="17" t="n">
        <v>0.7285</v>
      </c>
      <c r="K12" s="34" t="str">
        <f aca="false">INDEX($E$4:$J$4,MATCH(MAX(E12:J12),E12:J12,0))</f>
        <v>Ensemble (3)</v>
      </c>
    </row>
    <row r="13" customFormat="false" ht="15" hidden="false" customHeight="false" outlineLevel="0" collapsed="false">
      <c r="A13" s="8" t="s">
        <v>150</v>
      </c>
      <c r="B13" s="11" t="n">
        <v>883</v>
      </c>
      <c r="C13" s="8" t="s">
        <v>142</v>
      </c>
      <c r="D13" s="11" t="n">
        <v>101</v>
      </c>
      <c r="E13" s="33" t="n">
        <v>0.4978</v>
      </c>
      <c r="F13" s="33" t="n">
        <v>0.4431</v>
      </c>
      <c r="G13" s="33" t="n">
        <v>0.6396</v>
      </c>
      <c r="H13" s="33" t="n">
        <v>0.6073</v>
      </c>
      <c r="I13" s="33" t="n">
        <v>0.64</v>
      </c>
      <c r="J13" s="11" t="n">
        <v>0.6564</v>
      </c>
      <c r="K13" s="34" t="str">
        <f aca="false">INDEX($E$4:$J$4,MATCH(MAX(E13:J13),E13:J13,0))</f>
        <v>Ensemble (3)</v>
      </c>
    </row>
    <row r="14" customFormat="false" ht="15" hidden="false" customHeight="false" outlineLevel="0" collapsed="false">
      <c r="A14" s="14" t="s">
        <v>151</v>
      </c>
      <c r="B14" s="17" t="n">
        <v>765</v>
      </c>
      <c r="C14" s="14" t="s">
        <v>142</v>
      </c>
      <c r="D14" s="17" t="n">
        <v>108</v>
      </c>
      <c r="E14" s="35" t="n">
        <v>0.8455</v>
      </c>
      <c r="F14" s="35" t="n">
        <v>0.819</v>
      </c>
      <c r="G14" s="35" t="n">
        <v>0.8598</v>
      </c>
      <c r="H14" s="35" t="n">
        <v>0.8638</v>
      </c>
      <c r="I14" s="35" t="n">
        <v>0.8778</v>
      </c>
      <c r="J14" s="17" t="n">
        <v>0.8727</v>
      </c>
      <c r="K14" s="34" t="str">
        <f aca="false">INDEX($E$4:$J$4,MATCH(MAX(E14:J14),E14:J14,0))</f>
        <v>ViSoBERT-14GB</v>
      </c>
    </row>
    <row r="15" customFormat="false" ht="15" hidden="false" customHeight="false" outlineLevel="0" collapsed="false">
      <c r="A15" s="8" t="s">
        <v>152</v>
      </c>
      <c r="B15" s="11" t="n">
        <v>635</v>
      </c>
      <c r="C15" s="8" t="s">
        <v>146</v>
      </c>
      <c r="D15" s="11" t="n">
        <v>60</v>
      </c>
      <c r="E15" s="33" t="n">
        <v>0.4416</v>
      </c>
      <c r="F15" s="33" t="n">
        <v>0.5042</v>
      </c>
      <c r="G15" s="33" t="n">
        <v>0.6066</v>
      </c>
      <c r="H15" s="33" t="n">
        <v>0.5738</v>
      </c>
      <c r="I15" s="33" t="n">
        <v>0.5882</v>
      </c>
      <c r="J15" s="11" t="n">
        <v>0.6316</v>
      </c>
      <c r="K15" s="34" t="str">
        <f aca="false">INDEX($E$4:$J$4,MATCH(MAX(E15:J15),E15:J15,0))</f>
        <v>Ensemble (3)</v>
      </c>
    </row>
    <row r="16" customFormat="false" ht="15" hidden="false" customHeight="false" outlineLevel="0" collapsed="false">
      <c r="A16" s="14" t="s">
        <v>153</v>
      </c>
      <c r="B16" s="17" t="n">
        <v>917</v>
      </c>
      <c r="C16" s="14" t="s">
        <v>142</v>
      </c>
      <c r="D16" s="17" t="n">
        <v>115</v>
      </c>
      <c r="E16" s="35" t="n">
        <v>0.5509</v>
      </c>
      <c r="F16" s="35" t="n">
        <v>0.5755</v>
      </c>
      <c r="G16" s="35" t="n">
        <v>0.6339</v>
      </c>
      <c r="H16" s="35" t="n">
        <v>0.6348</v>
      </c>
      <c r="I16" s="35" t="n">
        <v>0.6545</v>
      </c>
      <c r="J16" s="17" t="n">
        <v>0.6697</v>
      </c>
      <c r="K16" s="34" t="str">
        <f aca="false">INDEX($E$4:$J$4,MATCH(MAX(E16:J16),E16:J16,0))</f>
        <v>Ensemble (3)</v>
      </c>
    </row>
    <row r="17" customFormat="false" ht="15" hidden="false" customHeight="false" outlineLevel="0" collapsed="false">
      <c r="A17" s="8" t="s">
        <v>154</v>
      </c>
      <c r="B17" s="11" t="n">
        <v>687</v>
      </c>
      <c r="C17" s="8" t="s">
        <v>146</v>
      </c>
      <c r="D17" s="11" t="n">
        <v>95</v>
      </c>
      <c r="E17" s="33" t="n">
        <v>0.3768</v>
      </c>
      <c r="F17" s="33" t="n">
        <v>0.2436</v>
      </c>
      <c r="G17" s="33" t="n">
        <v>0.4419</v>
      </c>
      <c r="H17" s="33" t="n">
        <v>0.452</v>
      </c>
      <c r="I17" s="33" t="n">
        <v>0.4497</v>
      </c>
      <c r="J17" s="11" t="n">
        <v>0.4938</v>
      </c>
      <c r="K17" s="34" t="str">
        <f aca="false">INDEX($E$4:$J$4,MATCH(MAX(E17:J17),E17:J17,0))</f>
        <v>Ensemble (3)</v>
      </c>
    </row>
    <row r="18" customFormat="false" ht="15" hidden="false" customHeight="false" outlineLevel="0" collapsed="false">
      <c r="A18" s="14" t="s">
        <v>155</v>
      </c>
      <c r="B18" s="17" t="n">
        <v>651</v>
      </c>
      <c r="C18" s="14" t="s">
        <v>146</v>
      </c>
      <c r="D18" s="17" t="n">
        <v>85</v>
      </c>
      <c r="E18" s="35" t="n">
        <v>0.4641</v>
      </c>
      <c r="F18" s="35" t="n">
        <v>0.3942</v>
      </c>
      <c r="G18" s="35" t="n">
        <v>0.5786</v>
      </c>
      <c r="H18" s="35" t="n">
        <v>0.5605</v>
      </c>
      <c r="I18" s="35" t="n">
        <v>0.5676</v>
      </c>
      <c r="J18" s="17" t="n">
        <v>0.5793</v>
      </c>
      <c r="K18" s="34" t="str">
        <f aca="false">INDEX($E$4:$J$4,MATCH(MAX(E18:J18),E18:J18,0))</f>
        <v>Ensemble (3)</v>
      </c>
    </row>
    <row r="19" customFormat="false" ht="15" hidden="false" customHeight="false" outlineLevel="0" collapsed="false">
      <c r="A19" s="8" t="s">
        <v>156</v>
      </c>
      <c r="B19" s="11" t="n">
        <v>840</v>
      </c>
      <c r="C19" s="8" t="s">
        <v>142</v>
      </c>
      <c r="D19" s="11" t="n">
        <v>100</v>
      </c>
      <c r="E19" s="33" t="n">
        <v>0.5408</v>
      </c>
      <c r="F19" s="33" t="n">
        <v>0.5238</v>
      </c>
      <c r="G19" s="33" t="n">
        <v>0.6633</v>
      </c>
      <c r="H19" s="33" t="n">
        <v>0.6333</v>
      </c>
      <c r="I19" s="33" t="n">
        <v>0.6842</v>
      </c>
      <c r="J19" s="11" t="n">
        <v>0.7033</v>
      </c>
      <c r="K19" s="34" t="str">
        <f aca="false">INDEX($E$4:$J$4,MATCH(MAX(E19:J19),E19:J19,0))</f>
        <v>Ensemble (3)</v>
      </c>
    </row>
    <row r="20" customFormat="false" ht="15" hidden="false" customHeight="false" outlineLevel="0" collapsed="false">
      <c r="A20" s="14" t="s">
        <v>157</v>
      </c>
      <c r="B20" s="17" t="n">
        <v>676</v>
      </c>
      <c r="C20" s="14" t="s">
        <v>146</v>
      </c>
      <c r="D20" s="17" t="n">
        <v>84</v>
      </c>
      <c r="E20" s="35" t="n">
        <v>0.3933</v>
      </c>
      <c r="F20" s="35" t="n">
        <v>0.3919</v>
      </c>
      <c r="G20" s="35" t="n">
        <v>0.4645</v>
      </c>
      <c r="H20" s="35" t="n">
        <v>0.481</v>
      </c>
      <c r="I20" s="35" t="n">
        <v>0.4932</v>
      </c>
      <c r="J20" s="17" t="n">
        <v>0.5103</v>
      </c>
      <c r="K20" s="34" t="str">
        <f aca="false">INDEX($E$4:$J$4,MATCH(MAX(E20:J20),E20:J20,0))</f>
        <v>Ensemble (3)</v>
      </c>
    </row>
    <row r="21" customFormat="false" ht="15" hidden="false" customHeight="false" outlineLevel="0" collapsed="false">
      <c r="A21" s="8" t="s">
        <v>158</v>
      </c>
      <c r="B21" s="11" t="n">
        <v>745</v>
      </c>
      <c r="C21" s="8" t="s">
        <v>146</v>
      </c>
      <c r="D21" s="11" t="n">
        <v>98</v>
      </c>
      <c r="E21" s="33" t="n">
        <v>0.6832</v>
      </c>
      <c r="F21" s="33" t="n">
        <v>0.6316</v>
      </c>
      <c r="G21" s="33" t="n">
        <v>0.7035</v>
      </c>
      <c r="H21" s="33" t="n">
        <v>0.6995</v>
      </c>
      <c r="I21" s="33" t="n">
        <v>0.655</v>
      </c>
      <c r="J21" s="11" t="n">
        <v>0.7191</v>
      </c>
      <c r="K21" s="34" t="str">
        <f aca="false">INDEX($E$4:$J$4,MATCH(MAX(E21:J21),E21:J21,0))</f>
        <v>Ensemble (3)</v>
      </c>
    </row>
    <row r="22" customFormat="false" ht="15" hidden="false" customHeight="false" outlineLevel="0" collapsed="false">
      <c r="A22" s="14" t="s">
        <v>159</v>
      </c>
      <c r="B22" s="17" t="n">
        <v>728</v>
      </c>
      <c r="C22" s="14" t="s">
        <v>146</v>
      </c>
      <c r="D22" s="17" t="n">
        <v>96</v>
      </c>
      <c r="E22" s="35" t="n">
        <v>0.43</v>
      </c>
      <c r="F22" s="35" t="n">
        <v>0.4405</v>
      </c>
      <c r="G22" s="35" t="n">
        <v>0.5698</v>
      </c>
      <c r="H22" s="35" t="n">
        <v>0.5412</v>
      </c>
      <c r="I22" s="35" t="n">
        <v>0.5062</v>
      </c>
      <c r="J22" s="17" t="n">
        <v>0.5359</v>
      </c>
      <c r="K22" s="34" t="str">
        <f aca="false">INDEX($E$4:$J$4,MATCH(MAX(E22:J22),E22:J22,0))</f>
        <v>PhoBERT-base-v2</v>
      </c>
    </row>
    <row r="23" customFormat="false" ht="15" hidden="false" customHeight="false" outlineLevel="0" collapsed="false">
      <c r="A23" s="8" t="s">
        <v>160</v>
      </c>
      <c r="B23" s="11" t="n">
        <v>707</v>
      </c>
      <c r="C23" s="8" t="s">
        <v>146</v>
      </c>
      <c r="D23" s="11" t="n">
        <v>87</v>
      </c>
      <c r="E23" s="33" t="n">
        <v>0.7053</v>
      </c>
      <c r="F23" s="33" t="n">
        <v>0.6946</v>
      </c>
      <c r="G23" s="33" t="n">
        <v>0.7425</v>
      </c>
      <c r="H23" s="33" t="n">
        <v>0.716</v>
      </c>
      <c r="I23" s="33" t="n">
        <v>0.6857</v>
      </c>
      <c r="J23" s="11" t="n">
        <v>0.7439</v>
      </c>
      <c r="K23" s="34" t="str">
        <f aca="false">INDEX($E$4:$J$4,MATCH(MAX(E23:J23),E23:J23,0))</f>
        <v>Ensemble (3)</v>
      </c>
    </row>
    <row r="24" customFormat="false" ht="15" hidden="false" customHeight="false" outlineLevel="0" collapsed="false">
      <c r="A24" s="14" t="s">
        <v>161</v>
      </c>
      <c r="B24" s="17" t="n">
        <v>885</v>
      </c>
      <c r="C24" s="14" t="s">
        <v>142</v>
      </c>
      <c r="D24" s="17" t="n">
        <v>107</v>
      </c>
      <c r="E24" s="35" t="n">
        <v>0.7692</v>
      </c>
      <c r="F24" s="35" t="n">
        <v>0.7538</v>
      </c>
      <c r="G24" s="35" t="n">
        <v>0.8807</v>
      </c>
      <c r="H24" s="35" t="n">
        <v>0.8406</v>
      </c>
      <c r="I24" s="35" t="n">
        <v>0.823</v>
      </c>
      <c r="J24" s="17" t="n">
        <v>0.8627</v>
      </c>
      <c r="K24" s="34" t="str">
        <f aca="false">INDEX($E$4:$J$4,MATCH(MAX(E24:J24),E24:J24,0))</f>
        <v>PhoBERT-base-v2</v>
      </c>
    </row>
    <row r="25" customFormat="false" ht="15" hidden="false" customHeight="false" outlineLevel="0" collapsed="false">
      <c r="A25" s="8" t="s">
        <v>162</v>
      </c>
      <c r="B25" s="11" t="n">
        <v>1522</v>
      </c>
      <c r="C25" s="8" t="s">
        <v>140</v>
      </c>
      <c r="D25" s="11" t="n">
        <v>197</v>
      </c>
      <c r="E25" s="33" t="n">
        <v>0.4047</v>
      </c>
      <c r="F25" s="33" t="n">
        <v>0.3593</v>
      </c>
      <c r="G25" s="33" t="n">
        <v>0.5337</v>
      </c>
      <c r="H25" s="33" t="n">
        <v>0.5193</v>
      </c>
      <c r="I25" s="33" t="n">
        <v>0.4793</v>
      </c>
      <c r="J25" s="11" t="n">
        <v>0.4986</v>
      </c>
      <c r="K25" s="34" t="str">
        <f aca="false">INDEX($E$4:$J$4,MATCH(MAX(E25:J25),E25:J25,0))</f>
        <v>PhoBERT-base-v2</v>
      </c>
    </row>
    <row r="26" customFormat="false" ht="15" hidden="false" customHeight="false" outlineLevel="0" collapsed="false">
      <c r="A26" s="14" t="s">
        <v>163</v>
      </c>
      <c r="B26" s="17" t="n">
        <v>2785</v>
      </c>
      <c r="C26" s="14" t="s">
        <v>140</v>
      </c>
      <c r="D26" s="17" t="n">
        <v>345</v>
      </c>
      <c r="E26" s="35" t="n">
        <v>0.6746</v>
      </c>
      <c r="F26" s="35" t="n">
        <v>0.6361</v>
      </c>
      <c r="G26" s="35" t="n">
        <v>0.7324</v>
      </c>
      <c r="H26" s="35" t="n">
        <v>0.7188</v>
      </c>
      <c r="I26" s="35" t="n">
        <v>0.75</v>
      </c>
      <c r="J26" s="17" t="n">
        <v>0.7603</v>
      </c>
      <c r="K26" s="34" t="str">
        <f aca="false">INDEX($E$4:$J$4,MATCH(MAX(E26:J26),E26:J26,0))</f>
        <v>Ensemble (3)</v>
      </c>
    </row>
    <row r="27" customFormat="false" ht="15" hidden="false" customHeight="false" outlineLevel="0" collapsed="false">
      <c r="A27" s="8" t="s">
        <v>164</v>
      </c>
      <c r="B27" s="11" t="n">
        <v>747</v>
      </c>
      <c r="C27" s="8" t="s">
        <v>146</v>
      </c>
      <c r="D27" s="11" t="n">
        <v>86</v>
      </c>
      <c r="E27" s="33" t="n">
        <v>0.6029</v>
      </c>
      <c r="F27" s="33" t="n">
        <v>0.6415</v>
      </c>
      <c r="G27" s="33" t="n">
        <v>0.7072</v>
      </c>
      <c r="H27" s="33" t="n">
        <v>0.6667</v>
      </c>
      <c r="I27" s="33" t="n">
        <v>0.6882</v>
      </c>
      <c r="J27" s="11" t="n">
        <v>0.6776</v>
      </c>
      <c r="K27" s="34" t="str">
        <f aca="false">INDEX($E$4:$J$4,MATCH(MAX(E27:J27),E27:J27,0))</f>
        <v>PhoBERT-base-v2</v>
      </c>
    </row>
    <row r="28" customFormat="false" ht="15" hidden="false" customHeight="false" outlineLevel="0" collapsed="false">
      <c r="A28" s="14" t="s">
        <v>165</v>
      </c>
      <c r="B28" s="17" t="n">
        <v>1206</v>
      </c>
      <c r="C28" s="14" t="s">
        <v>140</v>
      </c>
      <c r="D28" s="17" t="n">
        <v>141</v>
      </c>
      <c r="E28" s="35" t="n">
        <v>0.4377</v>
      </c>
      <c r="F28" s="35" t="n">
        <v>0.4275</v>
      </c>
      <c r="G28" s="35" t="n">
        <v>0.5</v>
      </c>
      <c r="H28" s="35" t="n">
        <v>0.4809</v>
      </c>
      <c r="I28" s="35" t="n">
        <v>0.4939</v>
      </c>
      <c r="J28" s="17" t="n">
        <v>0.5021</v>
      </c>
      <c r="K28" s="34" t="str">
        <f aca="false">INDEX($E$4:$J$4,MATCH(MAX(E28:J28),E28:J28,0))</f>
        <v>Ensemble (3)</v>
      </c>
    </row>
    <row r="29" customFormat="false" ht="15" hidden="false" customHeight="false" outlineLevel="0" collapsed="false">
      <c r="A29" s="8" t="s">
        <v>166</v>
      </c>
      <c r="B29" s="11" t="n">
        <v>1589</v>
      </c>
      <c r="C29" s="8" t="s">
        <v>140</v>
      </c>
      <c r="D29" s="11" t="n">
        <v>189</v>
      </c>
      <c r="E29" s="33" t="n">
        <v>0.5543</v>
      </c>
      <c r="F29" s="33" t="n">
        <v>0.5319</v>
      </c>
      <c r="G29" s="33" t="n">
        <v>0.6201</v>
      </c>
      <c r="H29" s="33" t="n">
        <v>0.6125</v>
      </c>
      <c r="I29" s="33" t="n">
        <v>0.6557</v>
      </c>
      <c r="J29" s="11" t="n">
        <v>0.6575</v>
      </c>
      <c r="K29" s="34" t="str">
        <f aca="false">INDEX($E$4:$J$4,MATCH(MAX(E29:J29),E29:J29,0))</f>
        <v>Ensemble (3)</v>
      </c>
    </row>
    <row r="30" customFormat="false" ht="15" hidden="false" customHeight="false" outlineLevel="0" collapsed="false">
      <c r="A30" s="14" t="s">
        <v>167</v>
      </c>
      <c r="B30" s="17" t="n">
        <v>2662</v>
      </c>
      <c r="C30" s="14" t="s">
        <v>140</v>
      </c>
      <c r="D30" s="17" t="n">
        <v>343</v>
      </c>
      <c r="E30" s="35" t="n">
        <v>0.513</v>
      </c>
      <c r="F30" s="35" t="n">
        <v>0.4654</v>
      </c>
      <c r="G30" s="35" t="n">
        <v>0.6168</v>
      </c>
      <c r="H30" s="35" t="n">
        <v>0.6301</v>
      </c>
      <c r="I30" s="35" t="n">
        <v>0.6156</v>
      </c>
      <c r="J30" s="17" t="n">
        <v>0.6471</v>
      </c>
      <c r="K30" s="34" t="str">
        <f aca="false">INDEX($E$4:$J$4,MATCH(MAX(E30:J30),E30:J30,0))</f>
        <v>Ensemble (3)</v>
      </c>
    </row>
    <row r="31" customFormat="false" ht="15" hidden="false" customHeight="false" outlineLevel="0" collapsed="false">
      <c r="A31" s="8" t="s">
        <v>168</v>
      </c>
      <c r="B31" s="11" t="n">
        <v>969</v>
      </c>
      <c r="C31" s="8" t="s">
        <v>142</v>
      </c>
      <c r="D31" s="11" t="n">
        <v>112</v>
      </c>
      <c r="E31" s="33" t="n">
        <v>0.3345</v>
      </c>
      <c r="F31" s="33" t="n">
        <v>0.1868</v>
      </c>
      <c r="G31" s="33" t="n">
        <v>0.3646</v>
      </c>
      <c r="H31" s="33" t="n">
        <v>0.342</v>
      </c>
      <c r="I31" s="33" t="n">
        <v>0.4053</v>
      </c>
      <c r="J31" s="11" t="n">
        <v>0.3913</v>
      </c>
      <c r="K31" s="34" t="str">
        <f aca="false">INDEX($E$4:$J$4,MATCH(MAX(E31:J31),E31:J31,0))</f>
        <v>ViSoBERT-14GB</v>
      </c>
    </row>
    <row r="32" customFormat="false" ht="15" hidden="false" customHeight="false" outlineLevel="0" collapsed="false">
      <c r="A32" s="14" t="s">
        <v>169</v>
      </c>
      <c r="B32" s="17" t="n">
        <v>821</v>
      </c>
      <c r="C32" s="14" t="s">
        <v>142</v>
      </c>
      <c r="D32" s="17" t="n">
        <v>116</v>
      </c>
      <c r="E32" s="35" t="n">
        <v>0.206</v>
      </c>
      <c r="F32" s="35" t="n">
        <v>0.2212</v>
      </c>
      <c r="G32" s="35" t="n">
        <v>0.4225</v>
      </c>
      <c r="H32" s="35" t="n">
        <v>0.3818</v>
      </c>
      <c r="I32" s="35" t="n">
        <v>0.4171</v>
      </c>
      <c r="J32" s="17" t="n">
        <v>0.4086</v>
      </c>
      <c r="K32" s="34" t="str">
        <f aca="false">INDEX($E$4:$J$4,MATCH(MAX(E32:J32),E32:J32,0))</f>
        <v>PhoBERT-base-v2</v>
      </c>
    </row>
    <row r="33" customFormat="false" ht="15" hidden="false" customHeight="false" outlineLevel="0" collapsed="false">
      <c r="A33" s="3" t="s">
        <v>170</v>
      </c>
      <c r="E33" s="36" t="n">
        <f aca="false">AVERAGE(E5:E32)</f>
        <v>0.541925</v>
      </c>
      <c r="F33" s="36" t="n">
        <f aca="false">AVERAGE(F5:F32)</f>
        <v>0.512232142857143</v>
      </c>
      <c r="G33" s="36" t="n">
        <f aca="false">AVERAGE(G5:G32)</f>
        <v>0.629157142857143</v>
      </c>
      <c r="H33" s="36" t="n">
        <f aca="false">AVERAGE(H5:H32)</f>
        <v>0.613292857142857</v>
      </c>
      <c r="I33" s="36" t="n">
        <f aca="false">AVERAGE(I5:I32)</f>
        <v>0.620367857142857</v>
      </c>
      <c r="J33" s="36" t="n">
        <f aca="false">AVERAGE(J5:J32)</f>
        <v>0.642964285714286</v>
      </c>
    </row>
  </sheetData>
  <conditionalFormatting sqref="E5:J32">
    <cfRule type="colorScale" priority="2">
      <colorScale>
        <cfvo type="num" val="0.2"/>
        <cfvo type="num" val="0.55"/>
        <cfvo type="num" val="0.9"/>
        <color rgb="FFF8C9C4"/>
        <color rgb="FFFFF4D6"/>
        <color rgb="FF9FD3A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"/>
    <col collapsed="false" customWidth="true" hidden="false" outlineLevel="0" max="5" min="3" style="0" width="20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15" hidden="false" customHeight="false" outlineLevel="0" collapsed="false">
      <c r="A4" s="6" t="s">
        <v>83</v>
      </c>
      <c r="B4" s="6" t="s">
        <v>134</v>
      </c>
      <c r="C4" s="6" t="s">
        <v>173</v>
      </c>
      <c r="D4" s="6" t="s">
        <v>174</v>
      </c>
      <c r="E4" s="6" t="s">
        <v>175</v>
      </c>
      <c r="F4" s="6" t="s">
        <v>176</v>
      </c>
      <c r="G4" s="6" t="s">
        <v>177</v>
      </c>
      <c r="H4" s="6" t="s">
        <v>178</v>
      </c>
      <c r="I4" s="6" t="s">
        <v>179</v>
      </c>
    </row>
    <row r="5" customFormat="false" ht="15" hidden="false" customHeight="false" outlineLevel="0" collapsed="false">
      <c r="A5" s="8" t="s">
        <v>72</v>
      </c>
      <c r="B5" s="8" t="s">
        <v>139</v>
      </c>
      <c r="C5" s="9" t="n">
        <v>0.721784776902887</v>
      </c>
      <c r="D5" s="9" t="n">
        <v>0.735294117647059</v>
      </c>
      <c r="E5" s="9" t="n">
        <v>0.728476821192053</v>
      </c>
      <c r="F5" s="11" t="n">
        <v>374</v>
      </c>
      <c r="G5" s="11" t="n">
        <v>381</v>
      </c>
      <c r="H5" s="9" t="n">
        <v>0.803220998973119</v>
      </c>
      <c r="I5" s="9" t="n">
        <v>0.5</v>
      </c>
    </row>
    <row r="6" customFormat="false" ht="15" hidden="false" customHeight="false" outlineLevel="0" collapsed="false">
      <c r="A6" s="14" t="s">
        <v>72</v>
      </c>
      <c r="B6" s="14" t="s">
        <v>141</v>
      </c>
      <c r="C6" s="15" t="n">
        <v>0.398496240601504</v>
      </c>
      <c r="D6" s="15" t="n">
        <v>0.540816326530612</v>
      </c>
      <c r="E6" s="15" t="n">
        <v>0.458874458874459</v>
      </c>
      <c r="F6" s="17" t="n">
        <v>98</v>
      </c>
      <c r="G6" s="17" t="n">
        <v>133</v>
      </c>
      <c r="H6" s="15" t="n">
        <v>0.463562622378428</v>
      </c>
      <c r="I6" s="15" t="n">
        <v>0.5</v>
      </c>
    </row>
    <row r="7" customFormat="false" ht="15" hidden="false" customHeight="false" outlineLevel="0" collapsed="false">
      <c r="A7" s="8" t="s">
        <v>72</v>
      </c>
      <c r="B7" s="8" t="s">
        <v>143</v>
      </c>
      <c r="C7" s="9" t="n">
        <v>0.506122448979592</v>
      </c>
      <c r="D7" s="9" t="n">
        <v>0.607843137254902</v>
      </c>
      <c r="E7" s="9" t="n">
        <v>0.552338530066815</v>
      </c>
      <c r="F7" s="11" t="n">
        <v>204</v>
      </c>
      <c r="G7" s="11" t="n">
        <v>245</v>
      </c>
      <c r="H7" s="9" t="n">
        <v>0.548679110003202</v>
      </c>
      <c r="I7" s="9" t="n">
        <v>0.5</v>
      </c>
    </row>
    <row r="8" customFormat="false" ht="15" hidden="false" customHeight="false" outlineLevel="0" collapsed="false">
      <c r="A8" s="14" t="s">
        <v>72</v>
      </c>
      <c r="B8" s="14" t="s">
        <v>144</v>
      </c>
      <c r="C8" s="15" t="n">
        <v>0.602272727272727</v>
      </c>
      <c r="D8" s="15" t="n">
        <v>0.741258741258741</v>
      </c>
      <c r="E8" s="15" t="n">
        <v>0.664576802507837</v>
      </c>
      <c r="F8" s="17" t="n">
        <v>143</v>
      </c>
      <c r="G8" s="17" t="n">
        <v>176</v>
      </c>
      <c r="H8" s="15" t="n">
        <v>0.755176436996785</v>
      </c>
      <c r="I8" s="15" t="n">
        <v>0.5</v>
      </c>
    </row>
    <row r="9" customFormat="false" ht="15" hidden="false" customHeight="false" outlineLevel="0" collapsed="false">
      <c r="A9" s="8" t="s">
        <v>72</v>
      </c>
      <c r="B9" s="8" t="s">
        <v>145</v>
      </c>
      <c r="C9" s="9" t="n">
        <v>0.380165289256198</v>
      </c>
      <c r="D9" s="9" t="n">
        <v>0.575</v>
      </c>
      <c r="E9" s="9" t="n">
        <v>0.45771144278607</v>
      </c>
      <c r="F9" s="11" t="n">
        <v>80</v>
      </c>
      <c r="G9" s="11" t="n">
        <v>121</v>
      </c>
      <c r="H9" s="9" t="n">
        <v>0.42717170409003</v>
      </c>
      <c r="I9" s="9" t="n">
        <v>0.5</v>
      </c>
    </row>
    <row r="10" customFormat="false" ht="15" hidden="false" customHeight="false" outlineLevel="0" collapsed="false">
      <c r="A10" s="14" t="s">
        <v>72</v>
      </c>
      <c r="B10" s="14" t="s">
        <v>147</v>
      </c>
      <c r="C10" s="15" t="n">
        <v>0.547368421052632</v>
      </c>
      <c r="D10" s="15" t="n">
        <v>0.732394366197183</v>
      </c>
      <c r="E10" s="15" t="n">
        <v>0.626506024096386</v>
      </c>
      <c r="F10" s="17" t="n">
        <v>142</v>
      </c>
      <c r="G10" s="17" t="n">
        <v>190</v>
      </c>
      <c r="H10" s="15" t="n">
        <v>0.661424065043004</v>
      </c>
      <c r="I10" s="15" t="n">
        <v>0.5</v>
      </c>
    </row>
    <row r="11" customFormat="false" ht="15" hidden="false" customHeight="false" outlineLevel="0" collapsed="false">
      <c r="A11" s="8" t="s">
        <v>72</v>
      </c>
      <c r="B11" s="8" t="s">
        <v>148</v>
      </c>
      <c r="C11" s="9" t="n">
        <v>0.521505376344086</v>
      </c>
      <c r="D11" s="9" t="n">
        <v>0.646666666666667</v>
      </c>
      <c r="E11" s="9" t="n">
        <v>0.577380952380952</v>
      </c>
      <c r="F11" s="11" t="n">
        <v>150</v>
      </c>
      <c r="G11" s="11" t="n">
        <v>186</v>
      </c>
      <c r="H11" s="9" t="n">
        <v>0.619110546424334</v>
      </c>
      <c r="I11" s="9" t="n">
        <v>0.5</v>
      </c>
    </row>
    <row r="12" customFormat="false" ht="15" hidden="false" customHeight="false" outlineLevel="0" collapsed="false">
      <c r="A12" s="14" t="s">
        <v>72</v>
      </c>
      <c r="B12" s="14" t="s">
        <v>149</v>
      </c>
      <c r="C12" s="15" t="n">
        <v>0.666666666666667</v>
      </c>
      <c r="D12" s="15" t="n">
        <v>0.697674418604651</v>
      </c>
      <c r="E12" s="15" t="n">
        <v>0.681818181818182</v>
      </c>
      <c r="F12" s="17" t="n">
        <v>86</v>
      </c>
      <c r="G12" s="17" t="n">
        <v>90</v>
      </c>
      <c r="H12" s="15" t="n">
        <v>0.716755491519719</v>
      </c>
      <c r="I12" s="15" t="n">
        <v>0.5</v>
      </c>
    </row>
    <row r="13" customFormat="false" ht="15" hidden="false" customHeight="false" outlineLevel="0" collapsed="false">
      <c r="A13" s="8" t="s">
        <v>72</v>
      </c>
      <c r="B13" s="8" t="s">
        <v>150</v>
      </c>
      <c r="C13" s="9" t="n">
        <v>0.451612903225806</v>
      </c>
      <c r="D13" s="9" t="n">
        <v>0.554455445544555</v>
      </c>
      <c r="E13" s="9" t="n">
        <v>0.497777777777778</v>
      </c>
      <c r="F13" s="11" t="n">
        <v>101</v>
      </c>
      <c r="G13" s="11" t="n">
        <v>124</v>
      </c>
      <c r="H13" s="9" t="n">
        <v>0.498537258664568</v>
      </c>
      <c r="I13" s="9" t="n">
        <v>0.5</v>
      </c>
    </row>
    <row r="14" customFormat="false" ht="15" hidden="false" customHeight="false" outlineLevel="0" collapsed="false">
      <c r="A14" s="14" t="s">
        <v>72</v>
      </c>
      <c r="B14" s="14" t="s">
        <v>151</v>
      </c>
      <c r="C14" s="15" t="n">
        <v>0.830357142857143</v>
      </c>
      <c r="D14" s="15" t="n">
        <v>0.861111111111111</v>
      </c>
      <c r="E14" s="15" t="n">
        <v>0.845454545454546</v>
      </c>
      <c r="F14" s="17" t="n">
        <v>108</v>
      </c>
      <c r="G14" s="17" t="n">
        <v>112</v>
      </c>
      <c r="H14" s="15" t="n">
        <v>0.91268016842431</v>
      </c>
      <c r="I14" s="15" t="n">
        <v>0.5</v>
      </c>
    </row>
    <row r="15" customFormat="false" ht="15" hidden="false" customHeight="false" outlineLevel="0" collapsed="false">
      <c r="A15" s="8" t="s">
        <v>72</v>
      </c>
      <c r="B15" s="8" t="s">
        <v>152</v>
      </c>
      <c r="C15" s="9" t="n">
        <v>0.361702127659575</v>
      </c>
      <c r="D15" s="9" t="n">
        <v>0.566666666666667</v>
      </c>
      <c r="E15" s="9" t="n">
        <v>0.441558441558442</v>
      </c>
      <c r="F15" s="11" t="n">
        <v>60</v>
      </c>
      <c r="G15" s="11" t="n">
        <v>94</v>
      </c>
      <c r="H15" s="9" t="n">
        <v>0.497646511259318</v>
      </c>
      <c r="I15" s="9" t="n">
        <v>0.5</v>
      </c>
    </row>
    <row r="16" customFormat="false" ht="15" hidden="false" customHeight="false" outlineLevel="0" collapsed="false">
      <c r="A16" s="14" t="s">
        <v>72</v>
      </c>
      <c r="B16" s="14" t="s">
        <v>153</v>
      </c>
      <c r="C16" s="15" t="n">
        <v>0.486666666666667</v>
      </c>
      <c r="D16" s="15" t="n">
        <v>0.634782608695652</v>
      </c>
      <c r="E16" s="15" t="n">
        <v>0.550943396226415</v>
      </c>
      <c r="F16" s="17" t="n">
        <v>115</v>
      </c>
      <c r="G16" s="17" t="n">
        <v>150</v>
      </c>
      <c r="H16" s="15" t="n">
        <v>0.60222712049428</v>
      </c>
      <c r="I16" s="15" t="n">
        <v>0.5</v>
      </c>
    </row>
    <row r="17" customFormat="false" ht="15" hidden="false" customHeight="false" outlineLevel="0" collapsed="false">
      <c r="A17" s="8" t="s">
        <v>72</v>
      </c>
      <c r="B17" s="8" t="s">
        <v>154</v>
      </c>
      <c r="C17" s="9" t="n">
        <v>0.348214285714286</v>
      </c>
      <c r="D17" s="9" t="n">
        <v>0.410526315789474</v>
      </c>
      <c r="E17" s="9" t="n">
        <v>0.376811594202899</v>
      </c>
      <c r="F17" s="11" t="n">
        <v>95</v>
      </c>
      <c r="G17" s="11" t="n">
        <v>112</v>
      </c>
      <c r="H17" s="9" t="n">
        <v>0.256967544060744</v>
      </c>
      <c r="I17" s="9" t="n">
        <v>0.5</v>
      </c>
    </row>
    <row r="18" customFormat="false" ht="15" hidden="false" customHeight="false" outlineLevel="0" collapsed="false">
      <c r="A18" s="14" t="s">
        <v>72</v>
      </c>
      <c r="B18" s="14" t="s">
        <v>155</v>
      </c>
      <c r="C18" s="15" t="n">
        <v>0.4375</v>
      </c>
      <c r="D18" s="15" t="n">
        <v>0.494117647058824</v>
      </c>
      <c r="E18" s="15" t="n">
        <v>0.464088397790055</v>
      </c>
      <c r="F18" s="17" t="n">
        <v>85</v>
      </c>
      <c r="G18" s="17" t="n">
        <v>96</v>
      </c>
      <c r="H18" s="15" t="n">
        <v>0.451754724589034</v>
      </c>
      <c r="I18" s="15" t="n">
        <v>0.5</v>
      </c>
    </row>
    <row r="19" customFormat="false" ht="15" hidden="false" customHeight="false" outlineLevel="0" collapsed="false">
      <c r="A19" s="8" t="s">
        <v>72</v>
      </c>
      <c r="B19" s="8" t="s">
        <v>156</v>
      </c>
      <c r="C19" s="9" t="n">
        <v>0.473684210526316</v>
      </c>
      <c r="D19" s="9" t="n">
        <v>0.63</v>
      </c>
      <c r="E19" s="9" t="n">
        <v>0.540772532188841</v>
      </c>
      <c r="F19" s="11" t="n">
        <v>100</v>
      </c>
      <c r="G19" s="11" t="n">
        <v>133</v>
      </c>
      <c r="H19" s="9" t="n">
        <v>0.592010578413807</v>
      </c>
      <c r="I19" s="9" t="n">
        <v>0.5</v>
      </c>
    </row>
    <row r="20" customFormat="false" ht="15" hidden="false" customHeight="false" outlineLevel="0" collapsed="false">
      <c r="A20" s="14" t="s">
        <v>72</v>
      </c>
      <c r="B20" s="14" t="s">
        <v>157</v>
      </c>
      <c r="C20" s="15" t="n">
        <v>0.372340425531915</v>
      </c>
      <c r="D20" s="15" t="n">
        <v>0.416666666666667</v>
      </c>
      <c r="E20" s="15" t="n">
        <v>0.393258426966292</v>
      </c>
      <c r="F20" s="17" t="n">
        <v>84</v>
      </c>
      <c r="G20" s="17" t="n">
        <v>94</v>
      </c>
      <c r="H20" s="15" t="n">
        <v>0.39867009702949</v>
      </c>
      <c r="I20" s="15" t="n">
        <v>0.5</v>
      </c>
    </row>
    <row r="21" customFormat="false" ht="15" hidden="false" customHeight="false" outlineLevel="0" collapsed="false">
      <c r="A21" s="8" t="s">
        <v>72</v>
      </c>
      <c r="B21" s="8" t="s">
        <v>158</v>
      </c>
      <c r="C21" s="9" t="n">
        <v>0.663461538461538</v>
      </c>
      <c r="D21" s="9" t="n">
        <v>0.704081632653061</v>
      </c>
      <c r="E21" s="9" t="n">
        <v>0.683168316831683</v>
      </c>
      <c r="F21" s="11" t="n">
        <v>98</v>
      </c>
      <c r="G21" s="11" t="n">
        <v>104</v>
      </c>
      <c r="H21" s="9" t="n">
        <v>0.699480225353555</v>
      </c>
      <c r="I21" s="9" t="n">
        <v>0.5</v>
      </c>
    </row>
    <row r="22" customFormat="false" ht="15" hidden="false" customHeight="false" outlineLevel="0" collapsed="false">
      <c r="A22" s="14" t="s">
        <v>72</v>
      </c>
      <c r="B22" s="14" t="s">
        <v>159</v>
      </c>
      <c r="C22" s="15" t="n">
        <v>0.413461538461538</v>
      </c>
      <c r="D22" s="15" t="n">
        <v>0.447916666666667</v>
      </c>
      <c r="E22" s="15" t="n">
        <v>0.43</v>
      </c>
      <c r="F22" s="17" t="n">
        <v>96</v>
      </c>
      <c r="G22" s="17" t="n">
        <v>104</v>
      </c>
      <c r="H22" s="15" t="n">
        <v>0.4357828349124</v>
      </c>
      <c r="I22" s="15" t="n">
        <v>0.5</v>
      </c>
    </row>
    <row r="23" customFormat="false" ht="15" hidden="false" customHeight="false" outlineLevel="0" collapsed="false">
      <c r="A23" s="8" t="s">
        <v>72</v>
      </c>
      <c r="B23" s="8" t="s">
        <v>160</v>
      </c>
      <c r="C23" s="9" t="n">
        <v>0.650485436893204</v>
      </c>
      <c r="D23" s="9" t="n">
        <v>0.770114942528736</v>
      </c>
      <c r="E23" s="9" t="n">
        <v>0.705263157894737</v>
      </c>
      <c r="F23" s="11" t="n">
        <v>87</v>
      </c>
      <c r="G23" s="11" t="n">
        <v>103</v>
      </c>
      <c r="H23" s="9" t="n">
        <v>0.759370974380448</v>
      </c>
      <c r="I23" s="9" t="n">
        <v>0.5</v>
      </c>
    </row>
    <row r="24" customFormat="false" ht="15" hidden="false" customHeight="false" outlineLevel="0" collapsed="false">
      <c r="A24" s="14" t="s">
        <v>72</v>
      </c>
      <c r="B24" s="14" t="s">
        <v>161</v>
      </c>
      <c r="C24" s="15" t="n">
        <v>0.745614035087719</v>
      </c>
      <c r="D24" s="15" t="n">
        <v>0.794392523364486</v>
      </c>
      <c r="E24" s="15" t="n">
        <v>0.769230769230769</v>
      </c>
      <c r="F24" s="17" t="n">
        <v>107</v>
      </c>
      <c r="G24" s="17" t="n">
        <v>114</v>
      </c>
      <c r="H24" s="15" t="n">
        <v>0.830834662407855</v>
      </c>
      <c r="I24" s="15" t="n">
        <v>0.5</v>
      </c>
    </row>
    <row r="25" customFormat="false" ht="15" hidden="false" customHeight="false" outlineLevel="0" collapsed="false">
      <c r="A25" s="8" t="s">
        <v>72</v>
      </c>
      <c r="B25" s="8" t="s">
        <v>162</v>
      </c>
      <c r="C25" s="9" t="n">
        <v>0.373390557939914</v>
      </c>
      <c r="D25" s="9" t="n">
        <v>0.441624365482234</v>
      </c>
      <c r="E25" s="9" t="n">
        <v>0.404651162790698</v>
      </c>
      <c r="F25" s="11" t="n">
        <v>197</v>
      </c>
      <c r="G25" s="11" t="n">
        <v>233</v>
      </c>
      <c r="H25" s="9" t="n">
        <v>0.377164652881545</v>
      </c>
      <c r="I25" s="9" t="n">
        <v>0.5</v>
      </c>
    </row>
    <row r="26" customFormat="false" ht="15" hidden="false" customHeight="false" outlineLevel="0" collapsed="false">
      <c r="A26" s="14" t="s">
        <v>72</v>
      </c>
      <c r="B26" s="14" t="s">
        <v>163</v>
      </c>
      <c r="C26" s="15" t="n">
        <v>0.622549019607843</v>
      </c>
      <c r="D26" s="15" t="n">
        <v>0.736231884057971</v>
      </c>
      <c r="E26" s="15" t="n">
        <v>0.674634794156707</v>
      </c>
      <c r="F26" s="17" t="n">
        <v>345</v>
      </c>
      <c r="G26" s="17" t="n">
        <v>408</v>
      </c>
      <c r="H26" s="15" t="n">
        <v>0.726405026941114</v>
      </c>
      <c r="I26" s="15" t="n">
        <v>0.5</v>
      </c>
    </row>
    <row r="27" customFormat="false" ht="15" hidden="false" customHeight="false" outlineLevel="0" collapsed="false">
      <c r="A27" s="8" t="s">
        <v>72</v>
      </c>
      <c r="B27" s="8" t="s">
        <v>164</v>
      </c>
      <c r="C27" s="9" t="n">
        <v>0.51219512195122</v>
      </c>
      <c r="D27" s="9" t="n">
        <v>0.732558139534884</v>
      </c>
      <c r="E27" s="9" t="n">
        <v>0.602870813397129</v>
      </c>
      <c r="F27" s="11" t="n">
        <v>86</v>
      </c>
      <c r="G27" s="11" t="n">
        <v>123</v>
      </c>
      <c r="H27" s="9" t="n">
        <v>0.654037736222896</v>
      </c>
      <c r="I27" s="9" t="n">
        <v>0.5</v>
      </c>
    </row>
    <row r="28" customFormat="false" ht="15" hidden="false" customHeight="false" outlineLevel="0" collapsed="false">
      <c r="A28" s="14" t="s">
        <v>72</v>
      </c>
      <c r="B28" s="14" t="s">
        <v>165</v>
      </c>
      <c r="C28" s="15" t="n">
        <v>0.382978723404255</v>
      </c>
      <c r="D28" s="15" t="n">
        <v>0.51063829787234</v>
      </c>
      <c r="E28" s="15" t="n">
        <v>0.437689969604863</v>
      </c>
      <c r="F28" s="17" t="n">
        <v>141</v>
      </c>
      <c r="G28" s="17" t="n">
        <v>188</v>
      </c>
      <c r="H28" s="15" t="n">
        <v>0.433076014006648</v>
      </c>
      <c r="I28" s="15" t="n">
        <v>0.5</v>
      </c>
    </row>
    <row r="29" customFormat="false" ht="15" hidden="false" customHeight="false" outlineLevel="0" collapsed="false">
      <c r="A29" s="8" t="s">
        <v>72</v>
      </c>
      <c r="B29" s="8" t="s">
        <v>166</v>
      </c>
      <c r="C29" s="9" t="n">
        <v>0.491803278688525</v>
      </c>
      <c r="D29" s="9" t="n">
        <v>0.634920634920635</v>
      </c>
      <c r="E29" s="9" t="n">
        <v>0.554272517321016</v>
      </c>
      <c r="F29" s="11" t="n">
        <v>189</v>
      </c>
      <c r="G29" s="11" t="n">
        <v>244</v>
      </c>
      <c r="H29" s="9" t="n">
        <v>0.553007349214712</v>
      </c>
      <c r="I29" s="9" t="n">
        <v>0.5</v>
      </c>
    </row>
    <row r="30" customFormat="false" ht="15" hidden="false" customHeight="false" outlineLevel="0" collapsed="false">
      <c r="A30" s="14" t="s">
        <v>72</v>
      </c>
      <c r="B30" s="14" t="s">
        <v>167</v>
      </c>
      <c r="C30" s="15" t="n">
        <v>0.463529411764706</v>
      </c>
      <c r="D30" s="15" t="n">
        <v>0.574344023323615</v>
      </c>
      <c r="E30" s="15" t="n">
        <v>0.513020833333333</v>
      </c>
      <c r="F30" s="17" t="n">
        <v>343</v>
      </c>
      <c r="G30" s="17" t="n">
        <v>425</v>
      </c>
      <c r="H30" s="15" t="n">
        <v>0.512801478577307</v>
      </c>
      <c r="I30" s="15" t="n">
        <v>0.5</v>
      </c>
    </row>
    <row r="31" customFormat="false" ht="15" hidden="false" customHeight="false" outlineLevel="0" collapsed="false">
      <c r="A31" s="8" t="s">
        <v>72</v>
      </c>
      <c r="B31" s="8" t="s">
        <v>168</v>
      </c>
      <c r="C31" s="9" t="n">
        <v>0.282208588957055</v>
      </c>
      <c r="D31" s="9" t="n">
        <v>0.410714285714286</v>
      </c>
      <c r="E31" s="9" t="n">
        <v>0.334545454545455</v>
      </c>
      <c r="F31" s="11" t="n">
        <v>112</v>
      </c>
      <c r="G31" s="11" t="n">
        <v>163</v>
      </c>
      <c r="H31" s="9" t="n">
        <v>0.269916821505005</v>
      </c>
      <c r="I31" s="9" t="n">
        <v>0.5</v>
      </c>
    </row>
    <row r="32" customFormat="false" ht="15" hidden="false" customHeight="false" outlineLevel="0" collapsed="false">
      <c r="A32" s="14" t="s">
        <v>72</v>
      </c>
      <c r="B32" s="14" t="s">
        <v>169</v>
      </c>
      <c r="C32" s="15" t="n">
        <v>0.205128205128205</v>
      </c>
      <c r="D32" s="15" t="n">
        <v>0.206896551724138</v>
      </c>
      <c r="E32" s="15" t="n">
        <v>0.206008583690987</v>
      </c>
      <c r="F32" s="17" t="n">
        <v>116</v>
      </c>
      <c r="G32" s="17" t="n">
        <v>117</v>
      </c>
      <c r="H32" s="15" t="n">
        <v>0.232162217302419</v>
      </c>
      <c r="I32" s="15" t="n">
        <v>0.5</v>
      </c>
    </row>
    <row r="33" customFormat="false" ht="15" hidden="false" customHeight="false" outlineLevel="0" collapsed="false">
      <c r="A33" s="8" t="s">
        <v>74</v>
      </c>
      <c r="B33" s="8" t="s">
        <v>139</v>
      </c>
      <c r="C33" s="9" t="n">
        <v>0.783505154639175</v>
      </c>
      <c r="D33" s="9" t="n">
        <v>0.609625668449198</v>
      </c>
      <c r="E33" s="9" t="n">
        <v>0.685714285714286</v>
      </c>
      <c r="F33" s="11" t="n">
        <v>374</v>
      </c>
      <c r="G33" s="11" t="n">
        <v>291</v>
      </c>
      <c r="H33" s="9" t="n">
        <v>0.787460188624143</v>
      </c>
      <c r="I33" s="9" t="n">
        <v>0.5</v>
      </c>
    </row>
    <row r="34" customFormat="false" ht="15" hidden="false" customHeight="false" outlineLevel="0" collapsed="false">
      <c r="A34" s="14" t="s">
        <v>74</v>
      </c>
      <c r="B34" s="14" t="s">
        <v>141</v>
      </c>
      <c r="C34" s="15" t="n">
        <v>0.5</v>
      </c>
      <c r="D34" s="15" t="n">
        <v>0.306122448979592</v>
      </c>
      <c r="E34" s="15" t="n">
        <v>0.379746835443038</v>
      </c>
      <c r="F34" s="17" t="n">
        <v>98</v>
      </c>
      <c r="G34" s="17" t="n">
        <v>60</v>
      </c>
      <c r="H34" s="15" t="n">
        <v>0.368399844935844</v>
      </c>
      <c r="I34" s="15" t="n">
        <v>0.5</v>
      </c>
    </row>
    <row r="35" customFormat="false" ht="15" hidden="false" customHeight="false" outlineLevel="0" collapsed="false">
      <c r="A35" s="8" t="s">
        <v>74</v>
      </c>
      <c r="B35" s="8" t="s">
        <v>143</v>
      </c>
      <c r="C35" s="9" t="n">
        <v>0.570588235294118</v>
      </c>
      <c r="D35" s="9" t="n">
        <v>0.475490196078431</v>
      </c>
      <c r="E35" s="9" t="n">
        <v>0.518716577540107</v>
      </c>
      <c r="F35" s="11" t="n">
        <v>204</v>
      </c>
      <c r="G35" s="11" t="n">
        <v>170</v>
      </c>
      <c r="H35" s="9" t="n">
        <v>0.553507595071145</v>
      </c>
      <c r="I35" s="9" t="n">
        <v>0.5</v>
      </c>
    </row>
    <row r="36" customFormat="false" ht="15" hidden="false" customHeight="false" outlineLevel="0" collapsed="false">
      <c r="A36" s="14" t="s">
        <v>74</v>
      </c>
      <c r="B36" s="14" t="s">
        <v>144</v>
      </c>
      <c r="C36" s="15" t="n">
        <v>0.676056338028169</v>
      </c>
      <c r="D36" s="15" t="n">
        <v>0.671328671328671</v>
      </c>
      <c r="E36" s="15" t="n">
        <v>0.673684210526316</v>
      </c>
      <c r="F36" s="17" t="n">
        <v>143</v>
      </c>
      <c r="G36" s="17" t="n">
        <v>142</v>
      </c>
      <c r="H36" s="15" t="n">
        <v>0.7223064627629</v>
      </c>
      <c r="I36" s="15" t="n">
        <v>0.5</v>
      </c>
    </row>
    <row r="37" customFormat="false" ht="15" hidden="false" customHeight="false" outlineLevel="0" collapsed="false">
      <c r="A37" s="8" t="s">
        <v>74</v>
      </c>
      <c r="B37" s="8" t="s">
        <v>145</v>
      </c>
      <c r="C37" s="9" t="n">
        <v>0.446153846153846</v>
      </c>
      <c r="D37" s="9" t="n">
        <v>0.3625</v>
      </c>
      <c r="E37" s="9" t="n">
        <v>0.4</v>
      </c>
      <c r="F37" s="11" t="n">
        <v>80</v>
      </c>
      <c r="G37" s="11" t="n">
        <v>65</v>
      </c>
      <c r="H37" s="9" t="n">
        <v>0.395433165385653</v>
      </c>
      <c r="I37" s="9" t="n">
        <v>0.5</v>
      </c>
    </row>
    <row r="38" customFormat="false" ht="15" hidden="false" customHeight="false" outlineLevel="0" collapsed="false">
      <c r="A38" s="14" t="s">
        <v>74</v>
      </c>
      <c r="B38" s="14" t="s">
        <v>147</v>
      </c>
      <c r="C38" s="15" t="n">
        <v>0.666666666666667</v>
      </c>
      <c r="D38" s="15" t="n">
        <v>0.535211267605634</v>
      </c>
      <c r="E38" s="15" t="n">
        <v>0.59375</v>
      </c>
      <c r="F38" s="17" t="n">
        <v>142</v>
      </c>
      <c r="G38" s="17" t="n">
        <v>114</v>
      </c>
      <c r="H38" s="15" t="n">
        <v>0.675467815874253</v>
      </c>
      <c r="I38" s="15" t="n">
        <v>0.5</v>
      </c>
    </row>
    <row r="39" customFormat="false" ht="15" hidden="false" customHeight="false" outlineLevel="0" collapsed="false">
      <c r="A39" s="8" t="s">
        <v>74</v>
      </c>
      <c r="B39" s="8" t="s">
        <v>148</v>
      </c>
      <c r="C39" s="9" t="n">
        <v>0.660550458715596</v>
      </c>
      <c r="D39" s="9" t="n">
        <v>0.48</v>
      </c>
      <c r="E39" s="9" t="n">
        <v>0.555984555984556</v>
      </c>
      <c r="F39" s="11" t="n">
        <v>150</v>
      </c>
      <c r="G39" s="11" t="n">
        <v>109</v>
      </c>
      <c r="H39" s="9" t="n">
        <v>0.593244549292488</v>
      </c>
      <c r="I39" s="9" t="n">
        <v>0.5</v>
      </c>
    </row>
    <row r="40" customFormat="false" ht="15" hidden="false" customHeight="false" outlineLevel="0" collapsed="false">
      <c r="A40" s="14" t="s">
        <v>74</v>
      </c>
      <c r="B40" s="14" t="s">
        <v>149</v>
      </c>
      <c r="C40" s="15" t="n">
        <v>0.735294117647059</v>
      </c>
      <c r="D40" s="15" t="n">
        <v>0.581395348837209</v>
      </c>
      <c r="E40" s="15" t="n">
        <v>0.649350649350649</v>
      </c>
      <c r="F40" s="17" t="n">
        <v>86</v>
      </c>
      <c r="G40" s="17" t="n">
        <v>68</v>
      </c>
      <c r="H40" s="15" t="n">
        <v>0.705703253639702</v>
      </c>
      <c r="I40" s="15" t="n">
        <v>0.5</v>
      </c>
    </row>
    <row r="41" customFormat="false" ht="15" hidden="false" customHeight="false" outlineLevel="0" collapsed="false">
      <c r="A41" s="8" t="s">
        <v>74</v>
      </c>
      <c r="B41" s="8" t="s">
        <v>150</v>
      </c>
      <c r="C41" s="9" t="n">
        <v>0.560606060606061</v>
      </c>
      <c r="D41" s="9" t="n">
        <v>0.366336633663366</v>
      </c>
      <c r="E41" s="9" t="n">
        <v>0.44311377245509</v>
      </c>
      <c r="F41" s="11" t="n">
        <v>101</v>
      </c>
      <c r="G41" s="11" t="n">
        <v>66</v>
      </c>
      <c r="H41" s="9" t="n">
        <v>0.466457705971683</v>
      </c>
      <c r="I41" s="9" t="n">
        <v>0.5</v>
      </c>
    </row>
    <row r="42" customFormat="false" ht="15" hidden="false" customHeight="false" outlineLevel="0" collapsed="false">
      <c r="A42" s="14" t="s">
        <v>74</v>
      </c>
      <c r="B42" s="14" t="s">
        <v>151</v>
      </c>
      <c r="C42" s="15" t="n">
        <v>0.843137254901961</v>
      </c>
      <c r="D42" s="15" t="n">
        <v>0.796296296296296</v>
      </c>
      <c r="E42" s="15" t="n">
        <v>0.819047619047619</v>
      </c>
      <c r="F42" s="17" t="n">
        <v>108</v>
      </c>
      <c r="G42" s="17" t="n">
        <v>102</v>
      </c>
      <c r="H42" s="15" t="n">
        <v>0.887411144083757</v>
      </c>
      <c r="I42" s="15" t="n">
        <v>0.5</v>
      </c>
    </row>
    <row r="43" customFormat="false" ht="15" hidden="false" customHeight="false" outlineLevel="0" collapsed="false">
      <c r="A43" s="8" t="s">
        <v>74</v>
      </c>
      <c r="B43" s="8" t="s">
        <v>152</v>
      </c>
      <c r="C43" s="9" t="n">
        <v>0.508474576271186</v>
      </c>
      <c r="D43" s="9" t="n">
        <v>0.5</v>
      </c>
      <c r="E43" s="9" t="n">
        <v>0.504201680672269</v>
      </c>
      <c r="F43" s="11" t="n">
        <v>60</v>
      </c>
      <c r="G43" s="11" t="n">
        <v>59</v>
      </c>
      <c r="H43" s="9" t="n">
        <v>0.484165446238329</v>
      </c>
      <c r="I43" s="9" t="n">
        <v>0.5</v>
      </c>
    </row>
    <row r="44" customFormat="false" ht="15" hidden="false" customHeight="false" outlineLevel="0" collapsed="false">
      <c r="A44" s="14" t="s">
        <v>74</v>
      </c>
      <c r="B44" s="14" t="s">
        <v>153</v>
      </c>
      <c r="C44" s="15" t="n">
        <v>0.628865979381443</v>
      </c>
      <c r="D44" s="15" t="n">
        <v>0.530434782608696</v>
      </c>
      <c r="E44" s="15" t="n">
        <v>0.575471698113208</v>
      </c>
      <c r="F44" s="17" t="n">
        <v>115</v>
      </c>
      <c r="G44" s="17" t="n">
        <v>97</v>
      </c>
      <c r="H44" s="15" t="n">
        <v>0.610428350258545</v>
      </c>
      <c r="I44" s="15" t="n">
        <v>0.5</v>
      </c>
    </row>
    <row r="45" customFormat="false" ht="15" hidden="false" customHeight="false" outlineLevel="0" collapsed="false">
      <c r="A45" s="8" t="s">
        <v>74</v>
      </c>
      <c r="B45" s="8" t="s">
        <v>154</v>
      </c>
      <c r="C45" s="9" t="n">
        <v>0.311475409836066</v>
      </c>
      <c r="D45" s="9" t="n">
        <v>0.2</v>
      </c>
      <c r="E45" s="9" t="n">
        <v>0.243589743589744</v>
      </c>
      <c r="F45" s="11" t="n">
        <v>95</v>
      </c>
      <c r="G45" s="11" t="n">
        <v>61</v>
      </c>
      <c r="H45" s="9" t="n">
        <v>0.224170363386297</v>
      </c>
      <c r="I45" s="9" t="n">
        <v>0.5</v>
      </c>
    </row>
    <row r="46" customFormat="false" ht="15" hidden="false" customHeight="false" outlineLevel="0" collapsed="false">
      <c r="A46" s="14" t="s">
        <v>74</v>
      </c>
      <c r="B46" s="14" t="s">
        <v>155</v>
      </c>
      <c r="C46" s="15" t="n">
        <v>0.519230769230769</v>
      </c>
      <c r="D46" s="15" t="n">
        <v>0.317647058823529</v>
      </c>
      <c r="E46" s="15" t="n">
        <v>0.394160583941606</v>
      </c>
      <c r="F46" s="17" t="n">
        <v>85</v>
      </c>
      <c r="G46" s="17" t="n">
        <v>52</v>
      </c>
      <c r="H46" s="15" t="n">
        <v>0.43415793079468</v>
      </c>
      <c r="I46" s="15" t="n">
        <v>0.5</v>
      </c>
    </row>
    <row r="47" customFormat="false" ht="15" hidden="false" customHeight="false" outlineLevel="0" collapsed="false">
      <c r="A47" s="8" t="s">
        <v>74</v>
      </c>
      <c r="B47" s="8" t="s">
        <v>156</v>
      </c>
      <c r="C47" s="9" t="n">
        <v>0.647058823529412</v>
      </c>
      <c r="D47" s="9" t="n">
        <v>0.44</v>
      </c>
      <c r="E47" s="9" t="n">
        <v>0.523809523809524</v>
      </c>
      <c r="F47" s="11" t="n">
        <v>100</v>
      </c>
      <c r="G47" s="11" t="n">
        <v>68</v>
      </c>
      <c r="H47" s="9" t="n">
        <v>0.555677961415126</v>
      </c>
      <c r="I47" s="9" t="n">
        <v>0.5</v>
      </c>
    </row>
    <row r="48" customFormat="false" ht="15" hidden="false" customHeight="false" outlineLevel="0" collapsed="false">
      <c r="A48" s="14" t="s">
        <v>74</v>
      </c>
      <c r="B48" s="14" t="s">
        <v>157</v>
      </c>
      <c r="C48" s="15" t="n">
        <v>0.453125</v>
      </c>
      <c r="D48" s="15" t="n">
        <v>0.345238095238095</v>
      </c>
      <c r="E48" s="15" t="n">
        <v>0.391891891891892</v>
      </c>
      <c r="F48" s="17" t="n">
        <v>84</v>
      </c>
      <c r="G48" s="17" t="n">
        <v>64</v>
      </c>
      <c r="H48" s="15" t="n">
        <v>0.362559364585373</v>
      </c>
      <c r="I48" s="15" t="n">
        <v>0.5</v>
      </c>
    </row>
    <row r="49" customFormat="false" ht="15" hidden="false" customHeight="false" outlineLevel="0" collapsed="false">
      <c r="A49" s="8" t="s">
        <v>74</v>
      </c>
      <c r="B49" s="8" t="s">
        <v>158</v>
      </c>
      <c r="C49" s="9" t="n">
        <v>0.652173913043478</v>
      </c>
      <c r="D49" s="9" t="n">
        <v>0.612244897959184</v>
      </c>
      <c r="E49" s="9" t="n">
        <v>0.631578947368421</v>
      </c>
      <c r="F49" s="11" t="n">
        <v>98</v>
      </c>
      <c r="G49" s="11" t="n">
        <v>92</v>
      </c>
      <c r="H49" s="9" t="n">
        <v>0.686837676854612</v>
      </c>
      <c r="I49" s="9" t="n">
        <v>0.5</v>
      </c>
    </row>
    <row r="50" customFormat="false" ht="15" hidden="false" customHeight="false" outlineLevel="0" collapsed="false">
      <c r="A50" s="14" t="s">
        <v>74</v>
      </c>
      <c r="B50" s="14" t="s">
        <v>159</v>
      </c>
      <c r="C50" s="15" t="n">
        <v>0.513888888888889</v>
      </c>
      <c r="D50" s="15" t="n">
        <v>0.385416666666667</v>
      </c>
      <c r="E50" s="15" t="n">
        <v>0.44047619047619</v>
      </c>
      <c r="F50" s="17" t="n">
        <v>96</v>
      </c>
      <c r="G50" s="17" t="n">
        <v>72</v>
      </c>
      <c r="H50" s="15" t="n">
        <v>0.408955975270648</v>
      </c>
      <c r="I50" s="15" t="n">
        <v>0.5</v>
      </c>
    </row>
    <row r="51" customFormat="false" ht="15" hidden="false" customHeight="false" outlineLevel="0" collapsed="false">
      <c r="A51" s="8" t="s">
        <v>74</v>
      </c>
      <c r="B51" s="8" t="s">
        <v>160</v>
      </c>
      <c r="C51" s="9" t="n">
        <v>0.725</v>
      </c>
      <c r="D51" s="9" t="n">
        <v>0.666666666666667</v>
      </c>
      <c r="E51" s="9" t="n">
        <v>0.694610778443114</v>
      </c>
      <c r="F51" s="11" t="n">
        <v>87</v>
      </c>
      <c r="G51" s="11" t="n">
        <v>80</v>
      </c>
      <c r="H51" s="9" t="n">
        <v>0.743049520464598</v>
      </c>
      <c r="I51" s="9" t="n">
        <v>0.5</v>
      </c>
    </row>
    <row r="52" customFormat="false" ht="15" hidden="false" customHeight="false" outlineLevel="0" collapsed="false">
      <c r="A52" s="14" t="s">
        <v>74</v>
      </c>
      <c r="B52" s="14" t="s">
        <v>161</v>
      </c>
      <c r="C52" s="15" t="n">
        <v>0.815217391304348</v>
      </c>
      <c r="D52" s="15" t="n">
        <v>0.700934579439252</v>
      </c>
      <c r="E52" s="15" t="n">
        <v>0.753768844221106</v>
      </c>
      <c r="F52" s="17" t="n">
        <v>107</v>
      </c>
      <c r="G52" s="17" t="n">
        <v>92</v>
      </c>
      <c r="H52" s="15" t="n">
        <v>0.831046387196431</v>
      </c>
      <c r="I52" s="15" t="n">
        <v>0.5</v>
      </c>
    </row>
    <row r="53" customFormat="false" ht="15" hidden="false" customHeight="false" outlineLevel="0" collapsed="false">
      <c r="A53" s="8" t="s">
        <v>74</v>
      </c>
      <c r="B53" s="8" t="s">
        <v>162</v>
      </c>
      <c r="C53" s="9" t="n">
        <v>0.437956204379562</v>
      </c>
      <c r="D53" s="9" t="n">
        <v>0.304568527918782</v>
      </c>
      <c r="E53" s="9" t="n">
        <v>0.359281437125749</v>
      </c>
      <c r="F53" s="11" t="n">
        <v>197</v>
      </c>
      <c r="G53" s="11" t="n">
        <v>137</v>
      </c>
      <c r="H53" s="9" t="n">
        <v>0.381088104688572</v>
      </c>
      <c r="I53" s="9" t="n">
        <v>0.5</v>
      </c>
    </row>
    <row r="54" customFormat="false" ht="15" hidden="false" customHeight="false" outlineLevel="0" collapsed="false">
      <c r="A54" s="14" t="s">
        <v>74</v>
      </c>
      <c r="B54" s="14" t="s">
        <v>163</v>
      </c>
      <c r="C54" s="15" t="n">
        <v>0.628895184135977</v>
      </c>
      <c r="D54" s="15" t="n">
        <v>0.643478260869565</v>
      </c>
      <c r="E54" s="15" t="n">
        <v>0.636103151862464</v>
      </c>
      <c r="F54" s="17" t="n">
        <v>345</v>
      </c>
      <c r="G54" s="17" t="n">
        <v>353</v>
      </c>
      <c r="H54" s="15" t="n">
        <v>0.708897402857096</v>
      </c>
      <c r="I54" s="15" t="n">
        <v>0.5</v>
      </c>
    </row>
    <row r="55" customFormat="false" ht="15" hidden="false" customHeight="false" outlineLevel="0" collapsed="false">
      <c r="A55" s="8" t="s">
        <v>74</v>
      </c>
      <c r="B55" s="8" t="s">
        <v>164</v>
      </c>
      <c r="C55" s="9" t="n">
        <v>0.698630136986301</v>
      </c>
      <c r="D55" s="9" t="n">
        <v>0.593023255813954</v>
      </c>
      <c r="E55" s="9" t="n">
        <v>0.641509433962264</v>
      </c>
      <c r="F55" s="11" t="n">
        <v>86</v>
      </c>
      <c r="G55" s="11" t="n">
        <v>73</v>
      </c>
      <c r="H55" s="9" t="n">
        <v>0.671210198634381</v>
      </c>
      <c r="I55" s="9" t="n">
        <v>0.5</v>
      </c>
    </row>
    <row r="56" customFormat="false" ht="15" hidden="false" customHeight="false" outlineLevel="0" collapsed="false">
      <c r="A56" s="14" t="s">
        <v>74</v>
      </c>
      <c r="B56" s="14" t="s">
        <v>165</v>
      </c>
      <c r="C56" s="15" t="n">
        <v>0.462809917355372</v>
      </c>
      <c r="D56" s="15" t="n">
        <v>0.397163120567376</v>
      </c>
      <c r="E56" s="15" t="n">
        <v>0.427480916030534</v>
      </c>
      <c r="F56" s="17" t="n">
        <v>141</v>
      </c>
      <c r="G56" s="17" t="n">
        <v>121</v>
      </c>
      <c r="H56" s="15" t="n">
        <v>0.436458344569031</v>
      </c>
      <c r="I56" s="15" t="n">
        <v>0.5</v>
      </c>
    </row>
    <row r="57" customFormat="false" ht="15" hidden="false" customHeight="false" outlineLevel="0" collapsed="false">
      <c r="A57" s="8" t="s">
        <v>74</v>
      </c>
      <c r="B57" s="8" t="s">
        <v>166</v>
      </c>
      <c r="C57" s="9" t="n">
        <v>0.53475935828877</v>
      </c>
      <c r="D57" s="9" t="n">
        <v>0.529100529100529</v>
      </c>
      <c r="E57" s="9" t="n">
        <v>0.531914893617021</v>
      </c>
      <c r="F57" s="11" t="n">
        <v>189</v>
      </c>
      <c r="G57" s="11" t="n">
        <v>187</v>
      </c>
      <c r="H57" s="9" t="n">
        <v>0.504161864203758</v>
      </c>
      <c r="I57" s="9" t="n">
        <v>0.5</v>
      </c>
    </row>
    <row r="58" customFormat="false" ht="15" hidden="false" customHeight="false" outlineLevel="0" collapsed="false">
      <c r="A58" s="14" t="s">
        <v>74</v>
      </c>
      <c r="B58" s="14" t="s">
        <v>167</v>
      </c>
      <c r="C58" s="15" t="n">
        <v>0.505119453924915</v>
      </c>
      <c r="D58" s="15" t="n">
        <v>0.431486880466472</v>
      </c>
      <c r="E58" s="15" t="n">
        <v>0.465408805031447</v>
      </c>
      <c r="F58" s="17" t="n">
        <v>343</v>
      </c>
      <c r="G58" s="17" t="n">
        <v>293</v>
      </c>
      <c r="H58" s="15" t="n">
        <v>0.492131825548734</v>
      </c>
      <c r="I58" s="15" t="n">
        <v>0.5</v>
      </c>
    </row>
    <row r="59" customFormat="false" ht="15" hidden="false" customHeight="false" outlineLevel="0" collapsed="false">
      <c r="A59" s="8" t="s">
        <v>74</v>
      </c>
      <c r="B59" s="8" t="s">
        <v>168</v>
      </c>
      <c r="C59" s="9" t="n">
        <v>0.242857142857143</v>
      </c>
      <c r="D59" s="9" t="n">
        <v>0.151785714285714</v>
      </c>
      <c r="E59" s="9" t="n">
        <v>0.186813186813187</v>
      </c>
      <c r="F59" s="11" t="n">
        <v>112</v>
      </c>
      <c r="G59" s="11" t="n">
        <v>70</v>
      </c>
      <c r="H59" s="9" t="n">
        <v>0.18910803802089</v>
      </c>
      <c r="I59" s="9" t="n">
        <v>0.5</v>
      </c>
    </row>
    <row r="60" customFormat="false" ht="15" hidden="false" customHeight="false" outlineLevel="0" collapsed="false">
      <c r="A60" s="14" t="s">
        <v>74</v>
      </c>
      <c r="B60" s="14" t="s">
        <v>169</v>
      </c>
      <c r="C60" s="15" t="n">
        <v>0.237623762376238</v>
      </c>
      <c r="D60" s="15" t="n">
        <v>0.206896551724138</v>
      </c>
      <c r="E60" s="15" t="n">
        <v>0.221198156682028</v>
      </c>
      <c r="F60" s="17" t="n">
        <v>116</v>
      </c>
      <c r="G60" s="17" t="n">
        <v>101</v>
      </c>
      <c r="H60" s="15" t="n">
        <v>0.224872578176801</v>
      </c>
      <c r="I60" s="15" t="n">
        <v>0.5</v>
      </c>
    </row>
    <row r="61" customFormat="false" ht="15" hidden="false" customHeight="false" outlineLevel="0" collapsed="false">
      <c r="A61" s="8" t="s">
        <v>75</v>
      </c>
      <c r="B61" s="8" t="s">
        <v>139</v>
      </c>
      <c r="C61" s="9" t="n">
        <v>0.820121951219512</v>
      </c>
      <c r="D61" s="9" t="n">
        <v>0.719251336898396</v>
      </c>
      <c r="E61" s="9" t="n">
        <v>0.766381766381766</v>
      </c>
      <c r="F61" s="11" t="n">
        <v>374</v>
      </c>
      <c r="G61" s="11" t="n">
        <v>328</v>
      </c>
      <c r="H61" s="9" t="n">
        <v>0.830526528763878</v>
      </c>
      <c r="I61" s="9" t="n">
        <v>0.5</v>
      </c>
    </row>
    <row r="62" customFormat="false" ht="15" hidden="false" customHeight="false" outlineLevel="0" collapsed="false">
      <c r="A62" s="14" t="s">
        <v>75</v>
      </c>
      <c r="B62" s="14" t="s">
        <v>141</v>
      </c>
      <c r="C62" s="15" t="n">
        <v>0.581632653061225</v>
      </c>
      <c r="D62" s="15" t="n">
        <v>0.581632653061225</v>
      </c>
      <c r="E62" s="15" t="n">
        <v>0.581632653061225</v>
      </c>
      <c r="F62" s="17" t="n">
        <v>98</v>
      </c>
      <c r="G62" s="17" t="n">
        <v>98</v>
      </c>
      <c r="H62" s="15" t="n">
        <v>0.603160937331502</v>
      </c>
      <c r="I62" s="15" t="n">
        <v>0.5</v>
      </c>
    </row>
    <row r="63" customFormat="false" ht="15" hidden="false" customHeight="false" outlineLevel="0" collapsed="false">
      <c r="A63" s="8" t="s">
        <v>75</v>
      </c>
      <c r="B63" s="8" t="s">
        <v>143</v>
      </c>
      <c r="C63" s="9" t="n">
        <v>0.616915422885572</v>
      </c>
      <c r="D63" s="9" t="n">
        <v>0.607843137254902</v>
      </c>
      <c r="E63" s="9" t="n">
        <v>0.612345679012346</v>
      </c>
      <c r="F63" s="11" t="n">
        <v>204</v>
      </c>
      <c r="G63" s="11" t="n">
        <v>201</v>
      </c>
      <c r="H63" s="9" t="n">
        <v>0.686370119395744</v>
      </c>
      <c r="I63" s="9" t="n">
        <v>0.5</v>
      </c>
    </row>
    <row r="64" customFormat="false" ht="15" hidden="false" customHeight="false" outlineLevel="0" collapsed="false">
      <c r="A64" s="14" t="s">
        <v>75</v>
      </c>
      <c r="B64" s="14" t="s">
        <v>144</v>
      </c>
      <c r="C64" s="15" t="n">
        <v>0.694805194805195</v>
      </c>
      <c r="D64" s="15" t="n">
        <v>0.748251748251748</v>
      </c>
      <c r="E64" s="15" t="n">
        <v>0.720538720538721</v>
      </c>
      <c r="F64" s="17" t="n">
        <v>143</v>
      </c>
      <c r="G64" s="17" t="n">
        <v>154</v>
      </c>
      <c r="H64" s="15" t="n">
        <v>0.812186818025282</v>
      </c>
      <c r="I64" s="15" t="n">
        <v>0.5</v>
      </c>
    </row>
    <row r="65" customFormat="false" ht="15" hidden="false" customHeight="false" outlineLevel="0" collapsed="false">
      <c r="A65" s="8" t="s">
        <v>75</v>
      </c>
      <c r="B65" s="8" t="s">
        <v>145</v>
      </c>
      <c r="C65" s="9" t="n">
        <v>0.494117647058824</v>
      </c>
      <c r="D65" s="9" t="n">
        <v>0.525</v>
      </c>
      <c r="E65" s="9" t="n">
        <v>0.509090909090909</v>
      </c>
      <c r="F65" s="11" t="n">
        <v>80</v>
      </c>
      <c r="G65" s="11" t="n">
        <v>85</v>
      </c>
      <c r="H65" s="9" t="n">
        <v>0.561741148193093</v>
      </c>
      <c r="I65" s="9" t="n">
        <v>0.5</v>
      </c>
    </row>
    <row r="66" customFormat="false" ht="15" hidden="false" customHeight="false" outlineLevel="0" collapsed="false">
      <c r="A66" s="14" t="s">
        <v>75</v>
      </c>
      <c r="B66" s="14" t="s">
        <v>147</v>
      </c>
      <c r="C66" s="15" t="n">
        <v>0.783582089552239</v>
      </c>
      <c r="D66" s="15" t="n">
        <v>0.73943661971831</v>
      </c>
      <c r="E66" s="15" t="n">
        <v>0.760869565217391</v>
      </c>
      <c r="F66" s="17" t="n">
        <v>142</v>
      </c>
      <c r="G66" s="17" t="n">
        <v>134</v>
      </c>
      <c r="H66" s="15" t="n">
        <v>0.830499205895457</v>
      </c>
      <c r="I66" s="15" t="n">
        <v>0.5</v>
      </c>
    </row>
    <row r="67" customFormat="false" ht="15" hidden="false" customHeight="false" outlineLevel="0" collapsed="false">
      <c r="A67" s="8" t="s">
        <v>75</v>
      </c>
      <c r="B67" s="8" t="s">
        <v>148</v>
      </c>
      <c r="C67" s="9" t="n">
        <v>0.627218934911243</v>
      </c>
      <c r="D67" s="9" t="n">
        <v>0.706666666666667</v>
      </c>
      <c r="E67" s="9" t="n">
        <v>0.664576802507837</v>
      </c>
      <c r="F67" s="11" t="n">
        <v>150</v>
      </c>
      <c r="G67" s="11" t="n">
        <v>169</v>
      </c>
      <c r="H67" s="9" t="n">
        <v>0.755799438768304</v>
      </c>
      <c r="I67" s="9" t="n">
        <v>0.5</v>
      </c>
    </row>
    <row r="68" customFormat="false" ht="15" hidden="false" customHeight="false" outlineLevel="0" collapsed="false">
      <c r="A68" s="14" t="s">
        <v>75</v>
      </c>
      <c r="B68" s="14" t="s">
        <v>149</v>
      </c>
      <c r="C68" s="15" t="n">
        <v>0.82089552238806</v>
      </c>
      <c r="D68" s="15" t="n">
        <v>0.63953488372093</v>
      </c>
      <c r="E68" s="15" t="n">
        <v>0.718954248366013</v>
      </c>
      <c r="F68" s="17" t="n">
        <v>86</v>
      </c>
      <c r="G68" s="17" t="n">
        <v>67</v>
      </c>
      <c r="H68" s="15" t="n">
        <v>0.791473150438857</v>
      </c>
      <c r="I68" s="15" t="n">
        <v>0.5</v>
      </c>
    </row>
    <row r="69" customFormat="false" ht="15" hidden="false" customHeight="false" outlineLevel="0" collapsed="false">
      <c r="A69" s="8" t="s">
        <v>75</v>
      </c>
      <c r="B69" s="8" t="s">
        <v>150</v>
      </c>
      <c r="C69" s="9" t="n">
        <v>0.65625</v>
      </c>
      <c r="D69" s="9" t="n">
        <v>0.623762376237624</v>
      </c>
      <c r="E69" s="9" t="n">
        <v>0.639593908629442</v>
      </c>
      <c r="F69" s="11" t="n">
        <v>101</v>
      </c>
      <c r="G69" s="11" t="n">
        <v>96</v>
      </c>
      <c r="H69" s="9" t="n">
        <v>0.687085149346184</v>
      </c>
      <c r="I69" s="9" t="n">
        <v>0.5</v>
      </c>
    </row>
    <row r="70" customFormat="false" ht="15" hidden="false" customHeight="false" outlineLevel="0" collapsed="false">
      <c r="A70" s="14" t="s">
        <v>75</v>
      </c>
      <c r="B70" s="14" t="s">
        <v>151</v>
      </c>
      <c r="C70" s="15" t="n">
        <v>0.867924528301887</v>
      </c>
      <c r="D70" s="15" t="n">
        <v>0.851851851851852</v>
      </c>
      <c r="E70" s="15" t="n">
        <v>0.85981308411215</v>
      </c>
      <c r="F70" s="17" t="n">
        <v>108</v>
      </c>
      <c r="G70" s="17" t="n">
        <v>106</v>
      </c>
      <c r="H70" s="15" t="n">
        <v>0.93427329736395</v>
      </c>
      <c r="I70" s="15" t="n">
        <v>0.5</v>
      </c>
    </row>
    <row r="71" customFormat="false" ht="15" hidden="false" customHeight="false" outlineLevel="0" collapsed="false">
      <c r="A71" s="8" t="s">
        <v>75</v>
      </c>
      <c r="B71" s="8" t="s">
        <v>152</v>
      </c>
      <c r="C71" s="9" t="n">
        <v>0.596774193548387</v>
      </c>
      <c r="D71" s="9" t="n">
        <v>0.616666666666667</v>
      </c>
      <c r="E71" s="9" t="n">
        <v>0.60655737704918</v>
      </c>
      <c r="F71" s="11" t="n">
        <v>60</v>
      </c>
      <c r="G71" s="11" t="n">
        <v>62</v>
      </c>
      <c r="H71" s="9" t="n">
        <v>0.650714328720656</v>
      </c>
      <c r="I71" s="9" t="n">
        <v>0.5</v>
      </c>
    </row>
    <row r="72" customFormat="false" ht="15" hidden="false" customHeight="false" outlineLevel="0" collapsed="false">
      <c r="A72" s="14" t="s">
        <v>75</v>
      </c>
      <c r="B72" s="14" t="s">
        <v>153</v>
      </c>
      <c r="C72" s="15" t="n">
        <v>0.651376146788991</v>
      </c>
      <c r="D72" s="15" t="n">
        <v>0.617391304347826</v>
      </c>
      <c r="E72" s="15" t="n">
        <v>0.633928571428571</v>
      </c>
      <c r="F72" s="17" t="n">
        <v>115</v>
      </c>
      <c r="G72" s="17" t="n">
        <v>109</v>
      </c>
      <c r="H72" s="15" t="n">
        <v>0.723600937263054</v>
      </c>
      <c r="I72" s="15" t="n">
        <v>0.5</v>
      </c>
    </row>
    <row r="73" customFormat="false" ht="15" hidden="false" customHeight="false" outlineLevel="0" collapsed="false">
      <c r="A73" s="8" t="s">
        <v>75</v>
      </c>
      <c r="B73" s="8" t="s">
        <v>154</v>
      </c>
      <c r="C73" s="9" t="n">
        <v>0.493506493506494</v>
      </c>
      <c r="D73" s="9" t="n">
        <v>0.4</v>
      </c>
      <c r="E73" s="9" t="n">
        <v>0.441860465116279</v>
      </c>
      <c r="F73" s="11" t="n">
        <v>95</v>
      </c>
      <c r="G73" s="11" t="n">
        <v>77</v>
      </c>
      <c r="H73" s="9" t="n">
        <v>0.45557737067451</v>
      </c>
      <c r="I73" s="9" t="n">
        <v>0.5</v>
      </c>
    </row>
    <row r="74" customFormat="false" ht="15" hidden="false" customHeight="false" outlineLevel="0" collapsed="false">
      <c r="A74" s="14" t="s">
        <v>75</v>
      </c>
      <c r="B74" s="14" t="s">
        <v>155</v>
      </c>
      <c r="C74" s="15" t="n">
        <v>0.621621621621622</v>
      </c>
      <c r="D74" s="15" t="n">
        <v>0.541176470588235</v>
      </c>
      <c r="E74" s="15" t="n">
        <v>0.578616352201258</v>
      </c>
      <c r="F74" s="17" t="n">
        <v>85</v>
      </c>
      <c r="G74" s="17" t="n">
        <v>74</v>
      </c>
      <c r="H74" s="15" t="n">
        <v>0.668517156839736</v>
      </c>
      <c r="I74" s="15" t="n">
        <v>0.5</v>
      </c>
    </row>
    <row r="75" customFormat="false" ht="15" hidden="false" customHeight="false" outlineLevel="0" collapsed="false">
      <c r="A75" s="8" t="s">
        <v>75</v>
      </c>
      <c r="B75" s="8" t="s">
        <v>156</v>
      </c>
      <c r="C75" s="9" t="n">
        <v>0.677083333333333</v>
      </c>
      <c r="D75" s="9" t="n">
        <v>0.65</v>
      </c>
      <c r="E75" s="9" t="n">
        <v>0.663265306122449</v>
      </c>
      <c r="F75" s="11" t="n">
        <v>100</v>
      </c>
      <c r="G75" s="11" t="n">
        <v>96</v>
      </c>
      <c r="H75" s="9" t="n">
        <v>0.717777766531297</v>
      </c>
      <c r="I75" s="9" t="n">
        <v>0.5</v>
      </c>
    </row>
    <row r="76" customFormat="false" ht="15" hidden="false" customHeight="false" outlineLevel="0" collapsed="false">
      <c r="A76" s="14" t="s">
        <v>75</v>
      </c>
      <c r="B76" s="14" t="s">
        <v>157</v>
      </c>
      <c r="C76" s="15" t="n">
        <v>0.507042253521127</v>
      </c>
      <c r="D76" s="15" t="n">
        <v>0.428571428571429</v>
      </c>
      <c r="E76" s="15" t="n">
        <v>0.464516129032258</v>
      </c>
      <c r="F76" s="17" t="n">
        <v>84</v>
      </c>
      <c r="G76" s="17" t="n">
        <v>71</v>
      </c>
      <c r="H76" s="15" t="n">
        <v>0.505789081949565</v>
      </c>
      <c r="I76" s="15" t="n">
        <v>0.5</v>
      </c>
    </row>
    <row r="77" customFormat="false" ht="15" hidden="false" customHeight="false" outlineLevel="0" collapsed="false">
      <c r="A77" s="8" t="s">
        <v>75</v>
      </c>
      <c r="B77" s="8" t="s">
        <v>158</v>
      </c>
      <c r="C77" s="9" t="n">
        <v>0.693069306930693</v>
      </c>
      <c r="D77" s="9" t="n">
        <v>0.714285714285714</v>
      </c>
      <c r="E77" s="9" t="n">
        <v>0.703517587939699</v>
      </c>
      <c r="F77" s="11" t="n">
        <v>98</v>
      </c>
      <c r="G77" s="11" t="n">
        <v>101</v>
      </c>
      <c r="H77" s="9" t="n">
        <v>0.78157930289873</v>
      </c>
      <c r="I77" s="9" t="n">
        <v>0.5</v>
      </c>
    </row>
    <row r="78" customFormat="false" ht="15" hidden="false" customHeight="false" outlineLevel="0" collapsed="false">
      <c r="A78" s="14" t="s">
        <v>75</v>
      </c>
      <c r="B78" s="14" t="s">
        <v>159</v>
      </c>
      <c r="C78" s="15" t="n">
        <v>0.614457831325301</v>
      </c>
      <c r="D78" s="15" t="n">
        <v>0.53125</v>
      </c>
      <c r="E78" s="15" t="n">
        <v>0.569832402234637</v>
      </c>
      <c r="F78" s="17" t="n">
        <v>96</v>
      </c>
      <c r="G78" s="17" t="n">
        <v>83</v>
      </c>
      <c r="H78" s="15" t="n">
        <v>0.630854670529725</v>
      </c>
      <c r="I78" s="15" t="n">
        <v>0.5</v>
      </c>
    </row>
    <row r="79" customFormat="false" ht="15" hidden="false" customHeight="false" outlineLevel="0" collapsed="false">
      <c r="A79" s="8" t="s">
        <v>75</v>
      </c>
      <c r="B79" s="8" t="s">
        <v>160</v>
      </c>
      <c r="C79" s="9" t="n">
        <v>0.775</v>
      </c>
      <c r="D79" s="9" t="n">
        <v>0.71264367816092</v>
      </c>
      <c r="E79" s="9" t="n">
        <v>0.74251497005988</v>
      </c>
      <c r="F79" s="11" t="n">
        <v>87</v>
      </c>
      <c r="G79" s="11" t="n">
        <v>80</v>
      </c>
      <c r="H79" s="9" t="n">
        <v>0.812559927759244</v>
      </c>
      <c r="I79" s="9" t="n">
        <v>0.5</v>
      </c>
    </row>
    <row r="80" customFormat="false" ht="15" hidden="false" customHeight="false" outlineLevel="0" collapsed="false">
      <c r="A80" s="14" t="s">
        <v>75</v>
      </c>
      <c r="B80" s="14" t="s">
        <v>161</v>
      </c>
      <c r="C80" s="15" t="n">
        <v>0.864864864864865</v>
      </c>
      <c r="D80" s="15" t="n">
        <v>0.897196261682243</v>
      </c>
      <c r="E80" s="15" t="n">
        <v>0.880733944954129</v>
      </c>
      <c r="F80" s="17" t="n">
        <v>107</v>
      </c>
      <c r="G80" s="17" t="n">
        <v>111</v>
      </c>
      <c r="H80" s="15" t="n">
        <v>0.930514348886562</v>
      </c>
      <c r="I80" s="15" t="n">
        <v>0.5</v>
      </c>
    </row>
    <row r="81" customFormat="false" ht="15" hidden="false" customHeight="false" outlineLevel="0" collapsed="false">
      <c r="A81" s="8" t="s">
        <v>75</v>
      </c>
      <c r="B81" s="8" t="s">
        <v>162</v>
      </c>
      <c r="C81" s="9" t="n">
        <v>0.524509803921569</v>
      </c>
      <c r="D81" s="9" t="n">
        <v>0.543147208121827</v>
      </c>
      <c r="E81" s="9" t="n">
        <v>0.533665835411471</v>
      </c>
      <c r="F81" s="11" t="n">
        <v>197</v>
      </c>
      <c r="G81" s="11" t="n">
        <v>204</v>
      </c>
      <c r="H81" s="9" t="n">
        <v>0.519658096652731</v>
      </c>
      <c r="I81" s="9" t="n">
        <v>0.5</v>
      </c>
    </row>
    <row r="82" customFormat="false" ht="15" hidden="false" customHeight="false" outlineLevel="0" collapsed="false">
      <c r="A82" s="14" t="s">
        <v>75</v>
      </c>
      <c r="B82" s="14" t="s">
        <v>163</v>
      </c>
      <c r="C82" s="15" t="n">
        <v>0.677339901477833</v>
      </c>
      <c r="D82" s="15" t="n">
        <v>0.797101449275362</v>
      </c>
      <c r="E82" s="15" t="n">
        <v>0.732356857523302</v>
      </c>
      <c r="F82" s="17" t="n">
        <v>345</v>
      </c>
      <c r="G82" s="17" t="n">
        <v>406</v>
      </c>
      <c r="H82" s="15" t="n">
        <v>0.797109332666431</v>
      </c>
      <c r="I82" s="15" t="n">
        <v>0.5</v>
      </c>
    </row>
    <row r="83" customFormat="false" ht="15" hidden="false" customHeight="false" outlineLevel="0" collapsed="false">
      <c r="A83" s="8" t="s">
        <v>75</v>
      </c>
      <c r="B83" s="8" t="s">
        <v>164</v>
      </c>
      <c r="C83" s="9" t="n">
        <v>0.673684210526316</v>
      </c>
      <c r="D83" s="9" t="n">
        <v>0.744186046511628</v>
      </c>
      <c r="E83" s="9" t="n">
        <v>0.707182320441989</v>
      </c>
      <c r="F83" s="11" t="n">
        <v>86</v>
      </c>
      <c r="G83" s="11" t="n">
        <v>95</v>
      </c>
      <c r="H83" s="9" t="n">
        <v>0.734626294909109</v>
      </c>
      <c r="I83" s="9" t="n">
        <v>0.5</v>
      </c>
    </row>
    <row r="84" customFormat="false" ht="15" hidden="false" customHeight="false" outlineLevel="0" collapsed="false">
      <c r="A84" s="14" t="s">
        <v>75</v>
      </c>
      <c r="B84" s="14" t="s">
        <v>165</v>
      </c>
      <c r="C84" s="15" t="n">
        <v>0.536585365853659</v>
      </c>
      <c r="D84" s="15" t="n">
        <v>0.468085106382979</v>
      </c>
      <c r="E84" s="15" t="n">
        <v>0.5</v>
      </c>
      <c r="F84" s="17" t="n">
        <v>141</v>
      </c>
      <c r="G84" s="17" t="n">
        <v>123</v>
      </c>
      <c r="H84" s="15" t="n">
        <v>0.52449538100715</v>
      </c>
      <c r="I84" s="15" t="n">
        <v>0.5</v>
      </c>
    </row>
    <row r="85" customFormat="false" ht="15" hidden="false" customHeight="false" outlineLevel="0" collapsed="false">
      <c r="A85" s="8" t="s">
        <v>75</v>
      </c>
      <c r="B85" s="8" t="s">
        <v>166</v>
      </c>
      <c r="C85" s="9" t="n">
        <v>0.656804733727811</v>
      </c>
      <c r="D85" s="9" t="n">
        <v>0.587301587301587</v>
      </c>
      <c r="E85" s="9" t="n">
        <v>0.620111731843575</v>
      </c>
      <c r="F85" s="11" t="n">
        <v>189</v>
      </c>
      <c r="G85" s="11" t="n">
        <v>169</v>
      </c>
      <c r="H85" s="9" t="n">
        <v>0.663436981205772</v>
      </c>
      <c r="I85" s="9" t="n">
        <v>0.5</v>
      </c>
    </row>
    <row r="86" customFormat="false" ht="15" hidden="false" customHeight="false" outlineLevel="0" collapsed="false">
      <c r="A86" s="14" t="s">
        <v>75</v>
      </c>
      <c r="B86" s="14" t="s">
        <v>167</v>
      </c>
      <c r="C86" s="15" t="n">
        <v>0.662207357859532</v>
      </c>
      <c r="D86" s="15" t="n">
        <v>0.577259475218659</v>
      </c>
      <c r="E86" s="15" t="n">
        <v>0.616822429906542</v>
      </c>
      <c r="F86" s="17" t="n">
        <v>343</v>
      </c>
      <c r="G86" s="17" t="n">
        <v>299</v>
      </c>
      <c r="H86" s="15" t="n">
        <v>0.663561615491699</v>
      </c>
      <c r="I86" s="15" t="n">
        <v>0.5</v>
      </c>
    </row>
    <row r="87" customFormat="false" ht="15" hidden="false" customHeight="false" outlineLevel="0" collapsed="false">
      <c r="A87" s="8" t="s">
        <v>75</v>
      </c>
      <c r="B87" s="8" t="s">
        <v>168</v>
      </c>
      <c r="C87" s="9" t="n">
        <v>0.4375</v>
      </c>
      <c r="D87" s="9" t="n">
        <v>0.3125</v>
      </c>
      <c r="E87" s="9" t="n">
        <v>0.364583333333333</v>
      </c>
      <c r="F87" s="11" t="n">
        <v>112</v>
      </c>
      <c r="G87" s="11" t="n">
        <v>80</v>
      </c>
      <c r="H87" s="9" t="n">
        <v>0.390380887181043</v>
      </c>
      <c r="I87" s="9" t="n">
        <v>0.5</v>
      </c>
    </row>
    <row r="88" customFormat="false" ht="15" hidden="false" customHeight="false" outlineLevel="0" collapsed="false">
      <c r="A88" s="14" t="s">
        <v>75</v>
      </c>
      <c r="B88" s="14" t="s">
        <v>169</v>
      </c>
      <c r="C88" s="15" t="n">
        <v>0.463917525773196</v>
      </c>
      <c r="D88" s="15" t="n">
        <v>0.387931034482759</v>
      </c>
      <c r="E88" s="15" t="n">
        <v>0.422535211267606</v>
      </c>
      <c r="F88" s="17" t="n">
        <v>116</v>
      </c>
      <c r="G88" s="17" t="n">
        <v>97</v>
      </c>
      <c r="H88" s="15" t="n">
        <v>0.49442481932242</v>
      </c>
      <c r="I88" s="15" t="n">
        <v>0.5</v>
      </c>
    </row>
    <row r="89" customFormat="false" ht="15" hidden="false" customHeight="false" outlineLevel="0" collapsed="false">
      <c r="A89" s="8" t="s">
        <v>77</v>
      </c>
      <c r="B89" s="8" t="s">
        <v>139</v>
      </c>
      <c r="C89" s="9" t="n">
        <v>0.767908309455587</v>
      </c>
      <c r="D89" s="9" t="n">
        <v>0.716577540106952</v>
      </c>
      <c r="E89" s="9" t="n">
        <v>0.741355463347165</v>
      </c>
      <c r="F89" s="11" t="n">
        <v>374</v>
      </c>
      <c r="G89" s="11" t="n">
        <v>349</v>
      </c>
      <c r="H89" s="9" t="n">
        <v>0.843446363587415</v>
      </c>
      <c r="I89" s="9" t="n">
        <v>0.5</v>
      </c>
    </row>
    <row r="90" customFormat="false" ht="15" hidden="false" customHeight="false" outlineLevel="0" collapsed="false">
      <c r="A90" s="14" t="s">
        <v>77</v>
      </c>
      <c r="B90" s="14" t="s">
        <v>141</v>
      </c>
      <c r="C90" s="15" t="n">
        <v>0.589041095890411</v>
      </c>
      <c r="D90" s="15" t="n">
        <v>0.438775510204082</v>
      </c>
      <c r="E90" s="15" t="n">
        <v>0.502923976608187</v>
      </c>
      <c r="F90" s="17" t="n">
        <v>98</v>
      </c>
      <c r="G90" s="17" t="n">
        <v>73</v>
      </c>
      <c r="H90" s="15" t="n">
        <v>0.602207886775435</v>
      </c>
      <c r="I90" s="15" t="n">
        <v>0.5</v>
      </c>
    </row>
    <row r="91" customFormat="false" ht="15" hidden="false" customHeight="false" outlineLevel="0" collapsed="false">
      <c r="A91" s="8" t="s">
        <v>77</v>
      </c>
      <c r="B91" s="8" t="s">
        <v>143</v>
      </c>
      <c r="C91" s="9" t="n">
        <v>0.612745098039216</v>
      </c>
      <c r="D91" s="9" t="n">
        <v>0.612745098039216</v>
      </c>
      <c r="E91" s="9" t="n">
        <v>0.612745098039216</v>
      </c>
      <c r="F91" s="11" t="n">
        <v>204</v>
      </c>
      <c r="G91" s="11" t="n">
        <v>204</v>
      </c>
      <c r="H91" s="9" t="n">
        <v>0.66979342008055</v>
      </c>
      <c r="I91" s="9" t="n">
        <v>0.5</v>
      </c>
    </row>
    <row r="92" customFormat="false" ht="15" hidden="false" customHeight="false" outlineLevel="0" collapsed="false">
      <c r="A92" s="14" t="s">
        <v>77</v>
      </c>
      <c r="B92" s="14" t="s">
        <v>144</v>
      </c>
      <c r="C92" s="15" t="n">
        <v>0.748251748251748</v>
      </c>
      <c r="D92" s="15" t="n">
        <v>0.748251748251748</v>
      </c>
      <c r="E92" s="15" t="n">
        <v>0.748251748251748</v>
      </c>
      <c r="F92" s="17" t="n">
        <v>143</v>
      </c>
      <c r="G92" s="17" t="n">
        <v>143</v>
      </c>
      <c r="H92" s="15" t="n">
        <v>0.802714809079696</v>
      </c>
      <c r="I92" s="15" t="n">
        <v>0.5</v>
      </c>
    </row>
    <row r="93" customFormat="false" ht="15" hidden="false" customHeight="false" outlineLevel="0" collapsed="false">
      <c r="A93" s="8" t="s">
        <v>77</v>
      </c>
      <c r="B93" s="8" t="s">
        <v>145</v>
      </c>
      <c r="C93" s="9" t="n">
        <v>0.530120481927711</v>
      </c>
      <c r="D93" s="9" t="n">
        <v>0.55</v>
      </c>
      <c r="E93" s="9" t="n">
        <v>0.539877300613497</v>
      </c>
      <c r="F93" s="11" t="n">
        <v>80</v>
      </c>
      <c r="G93" s="11" t="n">
        <v>83</v>
      </c>
      <c r="H93" s="9" t="n">
        <v>0.572686479236543</v>
      </c>
      <c r="I93" s="9" t="n">
        <v>0.5</v>
      </c>
    </row>
    <row r="94" customFormat="false" ht="15" hidden="false" customHeight="false" outlineLevel="0" collapsed="false">
      <c r="A94" s="14" t="s">
        <v>77</v>
      </c>
      <c r="B94" s="14" t="s">
        <v>147</v>
      </c>
      <c r="C94" s="15" t="n">
        <v>0.735537190082645</v>
      </c>
      <c r="D94" s="15" t="n">
        <v>0.626760563380282</v>
      </c>
      <c r="E94" s="15" t="n">
        <v>0.67680608365019</v>
      </c>
      <c r="F94" s="17" t="n">
        <v>142</v>
      </c>
      <c r="G94" s="17" t="n">
        <v>121</v>
      </c>
      <c r="H94" s="15" t="n">
        <v>0.736595001863363</v>
      </c>
      <c r="I94" s="15" t="n">
        <v>0.5</v>
      </c>
    </row>
    <row r="95" customFormat="false" ht="15" hidden="false" customHeight="false" outlineLevel="0" collapsed="false">
      <c r="A95" s="8" t="s">
        <v>77</v>
      </c>
      <c r="B95" s="8" t="s">
        <v>148</v>
      </c>
      <c r="C95" s="9" t="n">
        <v>0.698630136986301</v>
      </c>
      <c r="D95" s="9" t="n">
        <v>0.68</v>
      </c>
      <c r="E95" s="9" t="n">
        <v>0.689189189189189</v>
      </c>
      <c r="F95" s="11" t="n">
        <v>150</v>
      </c>
      <c r="G95" s="11" t="n">
        <v>146</v>
      </c>
      <c r="H95" s="9" t="n">
        <v>0.74478934756041</v>
      </c>
      <c r="I95" s="9" t="n">
        <v>0.5</v>
      </c>
    </row>
    <row r="96" customFormat="false" ht="15" hidden="false" customHeight="false" outlineLevel="0" collapsed="false">
      <c r="A96" s="14" t="s">
        <v>77</v>
      </c>
      <c r="B96" s="14" t="s">
        <v>149</v>
      </c>
      <c r="C96" s="15" t="n">
        <v>0.785714285714286</v>
      </c>
      <c r="D96" s="15" t="n">
        <v>0.63953488372093</v>
      </c>
      <c r="E96" s="15" t="n">
        <v>0.705128205128205</v>
      </c>
      <c r="F96" s="17" t="n">
        <v>86</v>
      </c>
      <c r="G96" s="17" t="n">
        <v>70</v>
      </c>
      <c r="H96" s="15" t="n">
        <v>0.784735253455867</v>
      </c>
      <c r="I96" s="15" t="n">
        <v>0.5</v>
      </c>
    </row>
    <row r="97" customFormat="false" ht="15" hidden="false" customHeight="false" outlineLevel="0" collapsed="false">
      <c r="A97" s="8" t="s">
        <v>77</v>
      </c>
      <c r="B97" s="8" t="s">
        <v>150</v>
      </c>
      <c r="C97" s="9" t="n">
        <v>0.644444444444445</v>
      </c>
      <c r="D97" s="9" t="n">
        <v>0.574257425742574</v>
      </c>
      <c r="E97" s="9" t="n">
        <v>0.607329842931937</v>
      </c>
      <c r="F97" s="11" t="n">
        <v>101</v>
      </c>
      <c r="G97" s="11" t="n">
        <v>90</v>
      </c>
      <c r="H97" s="9" t="n">
        <v>0.615607509312561</v>
      </c>
      <c r="I97" s="9" t="n">
        <v>0.5</v>
      </c>
    </row>
    <row r="98" customFormat="false" ht="15" hidden="false" customHeight="false" outlineLevel="0" collapsed="false">
      <c r="A98" s="14" t="s">
        <v>77</v>
      </c>
      <c r="B98" s="14" t="s">
        <v>151</v>
      </c>
      <c r="C98" s="15" t="n">
        <v>0.876190476190476</v>
      </c>
      <c r="D98" s="15" t="n">
        <v>0.851851851851852</v>
      </c>
      <c r="E98" s="15" t="n">
        <v>0.863849765258216</v>
      </c>
      <c r="F98" s="17" t="n">
        <v>108</v>
      </c>
      <c r="G98" s="17" t="n">
        <v>105</v>
      </c>
      <c r="H98" s="15" t="n">
        <v>0.93792982802365</v>
      </c>
      <c r="I98" s="15" t="n">
        <v>0.5</v>
      </c>
    </row>
    <row r="99" customFormat="false" ht="15" hidden="false" customHeight="false" outlineLevel="0" collapsed="false">
      <c r="A99" s="8" t="s">
        <v>77</v>
      </c>
      <c r="B99" s="8" t="s">
        <v>152</v>
      </c>
      <c r="C99" s="9" t="n">
        <v>0.564516129032258</v>
      </c>
      <c r="D99" s="9" t="n">
        <v>0.583333333333333</v>
      </c>
      <c r="E99" s="9" t="n">
        <v>0.573770491803279</v>
      </c>
      <c r="F99" s="11" t="n">
        <v>60</v>
      </c>
      <c r="G99" s="11" t="n">
        <v>62</v>
      </c>
      <c r="H99" s="9" t="n">
        <v>0.591420378408916</v>
      </c>
      <c r="I99" s="9" t="n">
        <v>0.5</v>
      </c>
    </row>
    <row r="100" customFormat="false" ht="15" hidden="false" customHeight="false" outlineLevel="0" collapsed="false">
      <c r="A100" s="14" t="s">
        <v>77</v>
      </c>
      <c r="B100" s="14" t="s">
        <v>153</v>
      </c>
      <c r="C100" s="15" t="n">
        <v>0.634782608695652</v>
      </c>
      <c r="D100" s="15" t="n">
        <v>0.634782608695652</v>
      </c>
      <c r="E100" s="15" t="n">
        <v>0.634782608695652</v>
      </c>
      <c r="F100" s="17" t="n">
        <v>115</v>
      </c>
      <c r="G100" s="17" t="n">
        <v>115</v>
      </c>
      <c r="H100" s="15" t="n">
        <v>0.709972131632411</v>
      </c>
      <c r="I100" s="15" t="n">
        <v>0.5</v>
      </c>
    </row>
    <row r="101" customFormat="false" ht="15" hidden="false" customHeight="false" outlineLevel="0" collapsed="false">
      <c r="A101" s="8" t="s">
        <v>77</v>
      </c>
      <c r="B101" s="8" t="s">
        <v>154</v>
      </c>
      <c r="C101" s="9" t="n">
        <v>0.487804878048781</v>
      </c>
      <c r="D101" s="9" t="n">
        <v>0.421052631578947</v>
      </c>
      <c r="E101" s="9" t="n">
        <v>0.451977401129944</v>
      </c>
      <c r="F101" s="11" t="n">
        <v>95</v>
      </c>
      <c r="G101" s="11" t="n">
        <v>82</v>
      </c>
      <c r="H101" s="9" t="n">
        <v>0.420923845172833</v>
      </c>
      <c r="I101" s="9" t="n">
        <v>0.5</v>
      </c>
    </row>
    <row r="102" customFormat="false" ht="15" hidden="false" customHeight="false" outlineLevel="0" collapsed="false">
      <c r="A102" s="14" t="s">
        <v>77</v>
      </c>
      <c r="B102" s="14" t="s">
        <v>155</v>
      </c>
      <c r="C102" s="15" t="n">
        <v>0.611111111111111</v>
      </c>
      <c r="D102" s="15" t="n">
        <v>0.51764705882353</v>
      </c>
      <c r="E102" s="15" t="n">
        <v>0.560509554140127</v>
      </c>
      <c r="F102" s="17" t="n">
        <v>85</v>
      </c>
      <c r="G102" s="17" t="n">
        <v>72</v>
      </c>
      <c r="H102" s="15" t="n">
        <v>0.607246815607314</v>
      </c>
      <c r="I102" s="15" t="n">
        <v>0.5</v>
      </c>
    </row>
    <row r="103" customFormat="false" ht="15" hidden="false" customHeight="false" outlineLevel="0" collapsed="false">
      <c r="A103" s="8" t="s">
        <v>77</v>
      </c>
      <c r="B103" s="8" t="s">
        <v>156</v>
      </c>
      <c r="C103" s="9" t="n">
        <v>0.7125</v>
      </c>
      <c r="D103" s="9" t="n">
        <v>0.57</v>
      </c>
      <c r="E103" s="9" t="n">
        <v>0.633333333333333</v>
      </c>
      <c r="F103" s="11" t="n">
        <v>100</v>
      </c>
      <c r="G103" s="11" t="n">
        <v>80</v>
      </c>
      <c r="H103" s="9" t="n">
        <v>0.744229815639696</v>
      </c>
      <c r="I103" s="9" t="n">
        <v>0.5</v>
      </c>
    </row>
    <row r="104" customFormat="false" ht="15" hidden="false" customHeight="false" outlineLevel="0" collapsed="false">
      <c r="A104" s="14" t="s">
        <v>77</v>
      </c>
      <c r="B104" s="14" t="s">
        <v>157</v>
      </c>
      <c r="C104" s="15" t="n">
        <v>0.513513513513514</v>
      </c>
      <c r="D104" s="15" t="n">
        <v>0.452380952380952</v>
      </c>
      <c r="E104" s="15" t="n">
        <v>0.481012658227848</v>
      </c>
      <c r="F104" s="17" t="n">
        <v>84</v>
      </c>
      <c r="G104" s="17" t="n">
        <v>74</v>
      </c>
      <c r="H104" s="15" t="n">
        <v>0.490229672475171</v>
      </c>
      <c r="I104" s="15" t="n">
        <v>0.5</v>
      </c>
    </row>
    <row r="105" customFormat="false" ht="15" hidden="false" customHeight="false" outlineLevel="0" collapsed="false">
      <c r="A105" s="8" t="s">
        <v>77</v>
      </c>
      <c r="B105" s="8" t="s">
        <v>158</v>
      </c>
      <c r="C105" s="9" t="n">
        <v>0.752941176470588</v>
      </c>
      <c r="D105" s="9" t="n">
        <v>0.653061224489796</v>
      </c>
      <c r="E105" s="9" t="n">
        <v>0.699453551912568</v>
      </c>
      <c r="F105" s="11" t="n">
        <v>98</v>
      </c>
      <c r="G105" s="11" t="n">
        <v>85</v>
      </c>
      <c r="H105" s="9" t="n">
        <v>0.764838319204504</v>
      </c>
      <c r="I105" s="9" t="n">
        <v>0.5</v>
      </c>
    </row>
    <row r="106" customFormat="false" ht="15" hidden="false" customHeight="false" outlineLevel="0" collapsed="false">
      <c r="A106" s="14" t="s">
        <v>77</v>
      </c>
      <c r="B106" s="14" t="s">
        <v>159</v>
      </c>
      <c r="C106" s="15" t="n">
        <v>0.621621621621622</v>
      </c>
      <c r="D106" s="15" t="n">
        <v>0.479166666666667</v>
      </c>
      <c r="E106" s="15" t="n">
        <v>0.541176470588235</v>
      </c>
      <c r="F106" s="17" t="n">
        <v>96</v>
      </c>
      <c r="G106" s="17" t="n">
        <v>74</v>
      </c>
      <c r="H106" s="15" t="n">
        <v>0.556831207817836</v>
      </c>
      <c r="I106" s="15" t="n">
        <v>0.5</v>
      </c>
    </row>
    <row r="107" customFormat="false" ht="15" hidden="false" customHeight="false" outlineLevel="0" collapsed="false">
      <c r="A107" s="8" t="s">
        <v>77</v>
      </c>
      <c r="B107" s="8" t="s">
        <v>160</v>
      </c>
      <c r="C107" s="9" t="n">
        <v>0.773333333333333</v>
      </c>
      <c r="D107" s="9" t="n">
        <v>0.666666666666667</v>
      </c>
      <c r="E107" s="9" t="n">
        <v>0.716049382716049</v>
      </c>
      <c r="F107" s="11" t="n">
        <v>87</v>
      </c>
      <c r="G107" s="11" t="n">
        <v>75</v>
      </c>
      <c r="H107" s="9" t="n">
        <v>0.795061099129603</v>
      </c>
      <c r="I107" s="9" t="n">
        <v>0.5</v>
      </c>
    </row>
    <row r="108" customFormat="false" ht="15" hidden="false" customHeight="false" outlineLevel="0" collapsed="false">
      <c r="A108" s="14" t="s">
        <v>77</v>
      </c>
      <c r="B108" s="14" t="s">
        <v>161</v>
      </c>
      <c r="C108" s="15" t="n">
        <v>0.87</v>
      </c>
      <c r="D108" s="15" t="n">
        <v>0.813084112149533</v>
      </c>
      <c r="E108" s="15" t="n">
        <v>0.840579710144928</v>
      </c>
      <c r="F108" s="17" t="n">
        <v>107</v>
      </c>
      <c r="G108" s="17" t="n">
        <v>100</v>
      </c>
      <c r="H108" s="15" t="n">
        <v>0.893935490856905</v>
      </c>
      <c r="I108" s="15" t="n">
        <v>0.5</v>
      </c>
    </row>
    <row r="109" customFormat="false" ht="15" hidden="false" customHeight="false" outlineLevel="0" collapsed="false">
      <c r="A109" s="8" t="s">
        <v>77</v>
      </c>
      <c r="B109" s="8" t="s">
        <v>162</v>
      </c>
      <c r="C109" s="9" t="n">
        <v>0.526041666666667</v>
      </c>
      <c r="D109" s="9" t="n">
        <v>0.512690355329949</v>
      </c>
      <c r="E109" s="9" t="n">
        <v>0.519280205655527</v>
      </c>
      <c r="F109" s="11" t="n">
        <v>197</v>
      </c>
      <c r="G109" s="11" t="n">
        <v>192</v>
      </c>
      <c r="H109" s="9" t="n">
        <v>0.509217293819128</v>
      </c>
      <c r="I109" s="9" t="n">
        <v>0.5</v>
      </c>
    </row>
    <row r="110" customFormat="false" ht="15" hidden="false" customHeight="false" outlineLevel="0" collapsed="false">
      <c r="A110" s="14" t="s">
        <v>77</v>
      </c>
      <c r="B110" s="14" t="s">
        <v>163</v>
      </c>
      <c r="C110" s="15" t="n">
        <v>0.704735376044568</v>
      </c>
      <c r="D110" s="15" t="n">
        <v>0.733333333333333</v>
      </c>
      <c r="E110" s="15" t="n">
        <v>0.71875</v>
      </c>
      <c r="F110" s="17" t="n">
        <v>345</v>
      </c>
      <c r="G110" s="17" t="n">
        <v>359</v>
      </c>
      <c r="H110" s="15" t="n">
        <v>0.795701693381148</v>
      </c>
      <c r="I110" s="15" t="n">
        <v>0.5</v>
      </c>
    </row>
    <row r="111" customFormat="false" ht="15" hidden="false" customHeight="false" outlineLevel="0" collapsed="false">
      <c r="A111" s="8" t="s">
        <v>77</v>
      </c>
      <c r="B111" s="8" t="s">
        <v>164</v>
      </c>
      <c r="C111" s="9" t="n">
        <v>0.628865979381443</v>
      </c>
      <c r="D111" s="9" t="n">
        <v>0.709302325581395</v>
      </c>
      <c r="E111" s="9" t="n">
        <v>0.666666666666667</v>
      </c>
      <c r="F111" s="11" t="n">
        <v>86</v>
      </c>
      <c r="G111" s="11" t="n">
        <v>97</v>
      </c>
      <c r="H111" s="9" t="n">
        <v>0.686336723136415</v>
      </c>
      <c r="I111" s="9" t="n">
        <v>0.5</v>
      </c>
    </row>
    <row r="112" customFormat="false" ht="15" hidden="false" customHeight="false" outlineLevel="0" collapsed="false">
      <c r="A112" s="14" t="s">
        <v>77</v>
      </c>
      <c r="B112" s="14" t="s">
        <v>165</v>
      </c>
      <c r="C112" s="15" t="n">
        <v>0.520661157024793</v>
      </c>
      <c r="D112" s="15" t="n">
        <v>0.446808510638298</v>
      </c>
      <c r="E112" s="15" t="n">
        <v>0.480916030534351</v>
      </c>
      <c r="F112" s="17" t="n">
        <v>141</v>
      </c>
      <c r="G112" s="17" t="n">
        <v>121</v>
      </c>
      <c r="H112" s="15" t="n">
        <v>0.504845012348802</v>
      </c>
      <c r="I112" s="15" t="n">
        <v>0.5</v>
      </c>
    </row>
    <row r="113" customFormat="false" ht="15" hidden="false" customHeight="false" outlineLevel="0" collapsed="false">
      <c r="A113" s="8" t="s">
        <v>77</v>
      </c>
      <c r="B113" s="8" t="s">
        <v>166</v>
      </c>
      <c r="C113" s="9" t="n">
        <v>0.627777777777778</v>
      </c>
      <c r="D113" s="9" t="n">
        <v>0.597883597883598</v>
      </c>
      <c r="E113" s="9" t="n">
        <v>0.612466124661247</v>
      </c>
      <c r="F113" s="11" t="n">
        <v>189</v>
      </c>
      <c r="G113" s="11" t="n">
        <v>180</v>
      </c>
      <c r="H113" s="9" t="n">
        <v>0.593340765341162</v>
      </c>
      <c r="I113" s="9" t="n">
        <v>0.5</v>
      </c>
    </row>
    <row r="114" customFormat="false" ht="15" hidden="false" customHeight="false" outlineLevel="0" collapsed="false">
      <c r="A114" s="14" t="s">
        <v>77</v>
      </c>
      <c r="B114" s="14" t="s">
        <v>167</v>
      </c>
      <c r="C114" s="15" t="n">
        <v>0.659235668789809</v>
      </c>
      <c r="D114" s="15" t="n">
        <v>0.603498542274053</v>
      </c>
      <c r="E114" s="15" t="n">
        <v>0.63013698630137</v>
      </c>
      <c r="F114" s="17" t="n">
        <v>343</v>
      </c>
      <c r="G114" s="17" t="n">
        <v>314</v>
      </c>
      <c r="H114" s="15" t="n">
        <v>0.671225429932673</v>
      </c>
      <c r="I114" s="15" t="n">
        <v>0.5</v>
      </c>
    </row>
    <row r="115" customFormat="false" ht="15" hidden="false" customHeight="false" outlineLevel="0" collapsed="false">
      <c r="A115" s="8" t="s">
        <v>77</v>
      </c>
      <c r="B115" s="8" t="s">
        <v>168</v>
      </c>
      <c r="C115" s="9" t="n">
        <v>0.407407407407407</v>
      </c>
      <c r="D115" s="9" t="n">
        <v>0.294642857142857</v>
      </c>
      <c r="E115" s="9" t="n">
        <v>0.341968911917098</v>
      </c>
      <c r="F115" s="11" t="n">
        <v>112</v>
      </c>
      <c r="G115" s="11" t="n">
        <v>81</v>
      </c>
      <c r="H115" s="9" t="n">
        <v>0.334315849624354</v>
      </c>
      <c r="I115" s="9" t="n">
        <v>0.5</v>
      </c>
    </row>
    <row r="116" customFormat="false" ht="15" hidden="false" customHeight="false" outlineLevel="0" collapsed="false">
      <c r="A116" s="14" t="s">
        <v>77</v>
      </c>
      <c r="B116" s="14" t="s">
        <v>169</v>
      </c>
      <c r="C116" s="15" t="n">
        <v>0.403846153846154</v>
      </c>
      <c r="D116" s="15" t="n">
        <v>0.362068965517241</v>
      </c>
      <c r="E116" s="15" t="n">
        <v>0.381818181818182</v>
      </c>
      <c r="F116" s="17" t="n">
        <v>116</v>
      </c>
      <c r="G116" s="17" t="n">
        <v>104</v>
      </c>
      <c r="H116" s="15" t="n">
        <v>0.391720127749626</v>
      </c>
      <c r="I116" s="15" t="n">
        <v>0.5</v>
      </c>
    </row>
    <row r="117" customFormat="false" ht="15" hidden="false" customHeight="false" outlineLevel="0" collapsed="false">
      <c r="A117" s="8" t="s">
        <v>78</v>
      </c>
      <c r="B117" s="8" t="s">
        <v>139</v>
      </c>
      <c r="C117" s="9" t="n">
        <v>0.820121951219512</v>
      </c>
      <c r="D117" s="9" t="n">
        <v>0.719251336898396</v>
      </c>
      <c r="E117" s="9" t="n">
        <v>0.766381766381766</v>
      </c>
      <c r="F117" s="11" t="n">
        <v>374</v>
      </c>
      <c r="G117" s="11" t="n">
        <v>328</v>
      </c>
      <c r="H117" s="9" t="n">
        <v>0.851159182570771</v>
      </c>
      <c r="I117" s="9" t="n">
        <v>0.5</v>
      </c>
    </row>
    <row r="118" customFormat="false" ht="15" hidden="false" customHeight="false" outlineLevel="0" collapsed="false">
      <c r="A118" s="14" t="s">
        <v>78</v>
      </c>
      <c r="B118" s="14" t="s">
        <v>141</v>
      </c>
      <c r="C118" s="15" t="n">
        <v>0.51219512195122</v>
      </c>
      <c r="D118" s="15" t="n">
        <v>0.428571428571429</v>
      </c>
      <c r="E118" s="15" t="n">
        <v>0.466666666666667</v>
      </c>
      <c r="F118" s="17" t="n">
        <v>98</v>
      </c>
      <c r="G118" s="17" t="n">
        <v>82</v>
      </c>
      <c r="H118" s="15" t="n">
        <v>0.568090508915009</v>
      </c>
      <c r="I118" s="15" t="n">
        <v>0.5</v>
      </c>
    </row>
    <row r="119" customFormat="false" ht="15" hidden="false" customHeight="false" outlineLevel="0" collapsed="false">
      <c r="A119" s="8" t="s">
        <v>78</v>
      </c>
      <c r="B119" s="8" t="s">
        <v>143</v>
      </c>
      <c r="C119" s="9" t="n">
        <v>0.588235294117647</v>
      </c>
      <c r="D119" s="9" t="n">
        <v>0.637254901960784</v>
      </c>
      <c r="E119" s="9" t="n">
        <v>0.611764705882353</v>
      </c>
      <c r="F119" s="11" t="n">
        <v>204</v>
      </c>
      <c r="G119" s="11" t="n">
        <v>221</v>
      </c>
      <c r="H119" s="9" t="n">
        <v>0.669401367163398</v>
      </c>
      <c r="I119" s="9" t="n">
        <v>0.5</v>
      </c>
    </row>
    <row r="120" customFormat="false" ht="15" hidden="false" customHeight="false" outlineLevel="0" collapsed="false">
      <c r="A120" s="14" t="s">
        <v>78</v>
      </c>
      <c r="B120" s="14" t="s">
        <v>144</v>
      </c>
      <c r="C120" s="15" t="n">
        <v>0.687116564417178</v>
      </c>
      <c r="D120" s="15" t="n">
        <v>0.783216783216783</v>
      </c>
      <c r="E120" s="15" t="n">
        <v>0.73202614379085</v>
      </c>
      <c r="F120" s="17" t="n">
        <v>143</v>
      </c>
      <c r="G120" s="17" t="n">
        <v>163</v>
      </c>
      <c r="H120" s="15" t="n">
        <v>0.829275058158748</v>
      </c>
      <c r="I120" s="15" t="n">
        <v>0.5</v>
      </c>
    </row>
    <row r="121" customFormat="false" ht="15" hidden="false" customHeight="false" outlineLevel="0" collapsed="false">
      <c r="A121" s="8" t="s">
        <v>78</v>
      </c>
      <c r="B121" s="8" t="s">
        <v>145</v>
      </c>
      <c r="C121" s="9" t="n">
        <v>0.579710144927536</v>
      </c>
      <c r="D121" s="9" t="n">
        <v>0.5</v>
      </c>
      <c r="E121" s="9" t="n">
        <v>0.536912751677852</v>
      </c>
      <c r="F121" s="11" t="n">
        <v>80</v>
      </c>
      <c r="G121" s="11" t="n">
        <v>69</v>
      </c>
      <c r="H121" s="9" t="n">
        <v>0.558283277738752</v>
      </c>
      <c r="I121" s="9" t="n">
        <v>0.5</v>
      </c>
    </row>
    <row r="122" customFormat="false" ht="15" hidden="false" customHeight="false" outlineLevel="0" collapsed="false">
      <c r="A122" s="14" t="s">
        <v>78</v>
      </c>
      <c r="B122" s="14" t="s">
        <v>147</v>
      </c>
      <c r="C122" s="15" t="n">
        <v>0.746153846153846</v>
      </c>
      <c r="D122" s="15" t="n">
        <v>0.683098591549296</v>
      </c>
      <c r="E122" s="15" t="n">
        <v>0.713235294117647</v>
      </c>
      <c r="F122" s="17" t="n">
        <v>142</v>
      </c>
      <c r="G122" s="17" t="n">
        <v>130</v>
      </c>
      <c r="H122" s="15" t="n">
        <v>0.781114376911711</v>
      </c>
      <c r="I122" s="15" t="n">
        <v>0.5</v>
      </c>
    </row>
    <row r="123" customFormat="false" ht="15" hidden="false" customHeight="false" outlineLevel="0" collapsed="false">
      <c r="A123" s="8" t="s">
        <v>78</v>
      </c>
      <c r="B123" s="8" t="s">
        <v>148</v>
      </c>
      <c r="C123" s="9" t="n">
        <v>0.691275167785235</v>
      </c>
      <c r="D123" s="9" t="n">
        <v>0.686666666666667</v>
      </c>
      <c r="E123" s="9" t="n">
        <v>0.688963210702341</v>
      </c>
      <c r="F123" s="11" t="n">
        <v>150</v>
      </c>
      <c r="G123" s="11" t="n">
        <v>149</v>
      </c>
      <c r="H123" s="9" t="n">
        <v>0.753176494285174</v>
      </c>
      <c r="I123" s="9" t="n">
        <v>0.5</v>
      </c>
    </row>
    <row r="124" customFormat="false" ht="15" hidden="false" customHeight="false" outlineLevel="0" collapsed="false">
      <c r="A124" s="14" t="s">
        <v>78</v>
      </c>
      <c r="B124" s="14" t="s">
        <v>149</v>
      </c>
      <c r="C124" s="15" t="n">
        <v>0.715909090909091</v>
      </c>
      <c r="D124" s="15" t="n">
        <v>0.732558139534884</v>
      </c>
      <c r="E124" s="15" t="n">
        <v>0.724137931034483</v>
      </c>
      <c r="F124" s="17" t="n">
        <v>86</v>
      </c>
      <c r="G124" s="17" t="n">
        <v>88</v>
      </c>
      <c r="H124" s="15" t="n">
        <v>0.816669614979833</v>
      </c>
      <c r="I124" s="15" t="n">
        <v>0.5</v>
      </c>
    </row>
    <row r="125" customFormat="false" ht="15" hidden="false" customHeight="false" outlineLevel="0" collapsed="false">
      <c r="A125" s="8" t="s">
        <v>78</v>
      </c>
      <c r="B125" s="8" t="s">
        <v>150</v>
      </c>
      <c r="C125" s="9" t="n">
        <v>0.646464646464647</v>
      </c>
      <c r="D125" s="9" t="n">
        <v>0.633663366336634</v>
      </c>
      <c r="E125" s="9" t="n">
        <v>0.64</v>
      </c>
      <c r="F125" s="11" t="n">
        <v>101</v>
      </c>
      <c r="G125" s="11" t="n">
        <v>99</v>
      </c>
      <c r="H125" s="9" t="n">
        <v>0.680350842673305</v>
      </c>
      <c r="I125" s="9" t="n">
        <v>0.5</v>
      </c>
    </row>
    <row r="126" customFormat="false" ht="15" hidden="false" customHeight="false" outlineLevel="0" collapsed="false">
      <c r="A126" s="14" t="s">
        <v>78</v>
      </c>
      <c r="B126" s="14" t="s">
        <v>151</v>
      </c>
      <c r="C126" s="15" t="n">
        <v>0.858407079646018</v>
      </c>
      <c r="D126" s="15" t="n">
        <v>0.898148148148148</v>
      </c>
      <c r="E126" s="15" t="n">
        <v>0.877828054298643</v>
      </c>
      <c r="F126" s="17" t="n">
        <v>108</v>
      </c>
      <c r="G126" s="17" t="n">
        <v>113</v>
      </c>
      <c r="H126" s="15" t="n">
        <v>0.949053534274387</v>
      </c>
      <c r="I126" s="15" t="n">
        <v>0.5</v>
      </c>
    </row>
    <row r="127" customFormat="false" ht="15" hidden="false" customHeight="false" outlineLevel="0" collapsed="false">
      <c r="A127" s="8" t="s">
        <v>78</v>
      </c>
      <c r="B127" s="8" t="s">
        <v>152</v>
      </c>
      <c r="C127" s="9" t="n">
        <v>0.593220338983051</v>
      </c>
      <c r="D127" s="9" t="n">
        <v>0.583333333333333</v>
      </c>
      <c r="E127" s="9" t="n">
        <v>0.588235294117647</v>
      </c>
      <c r="F127" s="11" t="n">
        <v>60</v>
      </c>
      <c r="G127" s="11" t="n">
        <v>59</v>
      </c>
      <c r="H127" s="9" t="n">
        <v>0.608574883510663</v>
      </c>
      <c r="I127" s="9" t="n">
        <v>0.5</v>
      </c>
    </row>
    <row r="128" customFormat="false" ht="15" hidden="false" customHeight="false" outlineLevel="0" collapsed="false">
      <c r="A128" s="14" t="s">
        <v>78</v>
      </c>
      <c r="B128" s="14" t="s">
        <v>153</v>
      </c>
      <c r="C128" s="15" t="n">
        <v>0.685714285714286</v>
      </c>
      <c r="D128" s="15" t="n">
        <v>0.626086956521739</v>
      </c>
      <c r="E128" s="15" t="n">
        <v>0.654545454545455</v>
      </c>
      <c r="F128" s="17" t="n">
        <v>115</v>
      </c>
      <c r="G128" s="17" t="n">
        <v>105</v>
      </c>
      <c r="H128" s="15" t="n">
        <v>0.733915621911417</v>
      </c>
      <c r="I128" s="15" t="n">
        <v>0.5</v>
      </c>
    </row>
    <row r="129" customFormat="false" ht="15" hidden="false" customHeight="false" outlineLevel="0" collapsed="false">
      <c r="A129" s="8" t="s">
        <v>78</v>
      </c>
      <c r="B129" s="8" t="s">
        <v>154</v>
      </c>
      <c r="C129" s="9" t="n">
        <v>0.513513513513514</v>
      </c>
      <c r="D129" s="9" t="n">
        <v>0.4</v>
      </c>
      <c r="E129" s="9" t="n">
        <v>0.449704142011834</v>
      </c>
      <c r="F129" s="11" t="n">
        <v>95</v>
      </c>
      <c r="G129" s="11" t="n">
        <v>74</v>
      </c>
      <c r="H129" s="9" t="n">
        <v>0.455665585489593</v>
      </c>
      <c r="I129" s="9" t="n">
        <v>0.5</v>
      </c>
    </row>
    <row r="130" customFormat="false" ht="15" hidden="false" customHeight="false" outlineLevel="0" collapsed="false">
      <c r="A130" s="14" t="s">
        <v>78</v>
      </c>
      <c r="B130" s="14" t="s">
        <v>155</v>
      </c>
      <c r="C130" s="15" t="n">
        <v>0.666666666666667</v>
      </c>
      <c r="D130" s="15" t="n">
        <v>0.494117647058824</v>
      </c>
      <c r="E130" s="15" t="n">
        <v>0.567567567567568</v>
      </c>
      <c r="F130" s="17" t="n">
        <v>85</v>
      </c>
      <c r="G130" s="17" t="n">
        <v>63</v>
      </c>
      <c r="H130" s="15" t="n">
        <v>0.608042978099211</v>
      </c>
      <c r="I130" s="15" t="n">
        <v>0.5</v>
      </c>
    </row>
    <row r="131" customFormat="false" ht="15" hidden="false" customHeight="false" outlineLevel="0" collapsed="false">
      <c r="A131" s="8" t="s">
        <v>78</v>
      </c>
      <c r="B131" s="8" t="s">
        <v>156</v>
      </c>
      <c r="C131" s="9" t="n">
        <v>0.722222222222222</v>
      </c>
      <c r="D131" s="9" t="n">
        <v>0.65</v>
      </c>
      <c r="E131" s="9" t="n">
        <v>0.68421052631579</v>
      </c>
      <c r="F131" s="11" t="n">
        <v>100</v>
      </c>
      <c r="G131" s="11" t="n">
        <v>90</v>
      </c>
      <c r="H131" s="9" t="n">
        <v>0.766921051943442</v>
      </c>
      <c r="I131" s="9" t="n">
        <v>0.5</v>
      </c>
    </row>
    <row r="132" customFormat="false" ht="15" hidden="false" customHeight="false" outlineLevel="0" collapsed="false">
      <c r="A132" s="14" t="s">
        <v>78</v>
      </c>
      <c r="B132" s="14" t="s">
        <v>157</v>
      </c>
      <c r="C132" s="15" t="n">
        <v>0.580645161290323</v>
      </c>
      <c r="D132" s="15" t="n">
        <v>0.428571428571429</v>
      </c>
      <c r="E132" s="15" t="n">
        <v>0.493150684931507</v>
      </c>
      <c r="F132" s="17" t="n">
        <v>84</v>
      </c>
      <c r="G132" s="17" t="n">
        <v>62</v>
      </c>
      <c r="H132" s="15" t="n">
        <v>0.516221501765987</v>
      </c>
      <c r="I132" s="15" t="n">
        <v>0.5</v>
      </c>
    </row>
    <row r="133" customFormat="false" ht="15" hidden="false" customHeight="false" outlineLevel="0" collapsed="false">
      <c r="A133" s="8" t="s">
        <v>78</v>
      </c>
      <c r="B133" s="8" t="s">
        <v>158</v>
      </c>
      <c r="C133" s="9" t="n">
        <v>0.767123287671233</v>
      </c>
      <c r="D133" s="9" t="n">
        <v>0.571428571428571</v>
      </c>
      <c r="E133" s="9" t="n">
        <v>0.654970760233918</v>
      </c>
      <c r="F133" s="11" t="n">
        <v>98</v>
      </c>
      <c r="G133" s="11" t="n">
        <v>73</v>
      </c>
      <c r="H133" s="9" t="n">
        <v>0.739079955420892</v>
      </c>
      <c r="I133" s="9" t="n">
        <v>0.5</v>
      </c>
    </row>
    <row r="134" customFormat="false" ht="15" hidden="false" customHeight="false" outlineLevel="0" collapsed="false">
      <c r="A134" s="14" t="s">
        <v>78</v>
      </c>
      <c r="B134" s="14" t="s">
        <v>159</v>
      </c>
      <c r="C134" s="15" t="n">
        <v>0.621212121212121</v>
      </c>
      <c r="D134" s="15" t="n">
        <v>0.427083333333333</v>
      </c>
      <c r="E134" s="15" t="n">
        <v>0.506172839506173</v>
      </c>
      <c r="F134" s="17" t="n">
        <v>96</v>
      </c>
      <c r="G134" s="17" t="n">
        <v>66</v>
      </c>
      <c r="H134" s="15" t="n">
        <v>0.594661829383488</v>
      </c>
      <c r="I134" s="15" t="n">
        <v>0.5</v>
      </c>
    </row>
    <row r="135" customFormat="false" ht="15" hidden="false" customHeight="false" outlineLevel="0" collapsed="false">
      <c r="A135" s="8" t="s">
        <v>78</v>
      </c>
      <c r="B135" s="8" t="s">
        <v>160</v>
      </c>
      <c r="C135" s="9" t="n">
        <v>0.681818181818182</v>
      </c>
      <c r="D135" s="9" t="n">
        <v>0.689655172413793</v>
      </c>
      <c r="E135" s="9" t="n">
        <v>0.685714285714286</v>
      </c>
      <c r="F135" s="11" t="n">
        <v>87</v>
      </c>
      <c r="G135" s="11" t="n">
        <v>88</v>
      </c>
      <c r="H135" s="9" t="n">
        <v>0.814979283095894</v>
      </c>
      <c r="I135" s="9" t="n">
        <v>0.5</v>
      </c>
    </row>
    <row r="136" customFormat="false" ht="15" hidden="false" customHeight="false" outlineLevel="0" collapsed="false">
      <c r="A136" s="14" t="s">
        <v>78</v>
      </c>
      <c r="B136" s="14" t="s">
        <v>161</v>
      </c>
      <c r="C136" s="15" t="n">
        <v>0.843137254901961</v>
      </c>
      <c r="D136" s="15" t="n">
        <v>0.803738317757009</v>
      </c>
      <c r="E136" s="15" t="n">
        <v>0.822966507177034</v>
      </c>
      <c r="F136" s="17" t="n">
        <v>107</v>
      </c>
      <c r="G136" s="17" t="n">
        <v>102</v>
      </c>
      <c r="H136" s="15" t="n">
        <v>0.914094944267875</v>
      </c>
      <c r="I136" s="15" t="n">
        <v>0.5</v>
      </c>
    </row>
    <row r="137" customFormat="false" ht="15" hidden="false" customHeight="false" outlineLevel="0" collapsed="false">
      <c r="A137" s="8" t="s">
        <v>78</v>
      </c>
      <c r="B137" s="8" t="s">
        <v>162</v>
      </c>
      <c r="C137" s="9" t="n">
        <v>0.524096385542169</v>
      </c>
      <c r="D137" s="9" t="n">
        <v>0.441624365482234</v>
      </c>
      <c r="E137" s="9" t="n">
        <v>0.479338842975207</v>
      </c>
      <c r="F137" s="11" t="n">
        <v>197</v>
      </c>
      <c r="G137" s="11" t="n">
        <v>166</v>
      </c>
      <c r="H137" s="9" t="n">
        <v>0.483647037810503</v>
      </c>
      <c r="I137" s="9" t="n">
        <v>0.5</v>
      </c>
    </row>
    <row r="138" customFormat="false" ht="15" hidden="false" customHeight="false" outlineLevel="0" collapsed="false">
      <c r="A138" s="14" t="s">
        <v>78</v>
      </c>
      <c r="B138" s="14" t="s">
        <v>163</v>
      </c>
      <c r="C138" s="15" t="n">
        <v>0.712793733681462</v>
      </c>
      <c r="D138" s="15" t="n">
        <v>0.791304347826087</v>
      </c>
      <c r="E138" s="15" t="n">
        <v>0.75</v>
      </c>
      <c r="F138" s="17" t="n">
        <v>345</v>
      </c>
      <c r="G138" s="17" t="n">
        <v>383</v>
      </c>
      <c r="H138" s="15" t="n">
        <v>0.819057509337585</v>
      </c>
      <c r="I138" s="15" t="n">
        <v>0.5</v>
      </c>
    </row>
    <row r="139" customFormat="false" ht="15" hidden="false" customHeight="false" outlineLevel="0" collapsed="false">
      <c r="A139" s="8" t="s">
        <v>78</v>
      </c>
      <c r="B139" s="8" t="s">
        <v>164</v>
      </c>
      <c r="C139" s="9" t="n">
        <v>0.64</v>
      </c>
      <c r="D139" s="9" t="n">
        <v>0.744186046511628</v>
      </c>
      <c r="E139" s="9" t="n">
        <v>0.688172043010753</v>
      </c>
      <c r="F139" s="11" t="n">
        <v>86</v>
      </c>
      <c r="G139" s="11" t="n">
        <v>100</v>
      </c>
      <c r="H139" s="9" t="n">
        <v>0.729742302866127</v>
      </c>
      <c r="I139" s="9" t="n">
        <v>0.5</v>
      </c>
    </row>
    <row r="140" customFormat="false" ht="15" hidden="false" customHeight="false" outlineLevel="0" collapsed="false">
      <c r="A140" s="14" t="s">
        <v>78</v>
      </c>
      <c r="B140" s="14" t="s">
        <v>165</v>
      </c>
      <c r="C140" s="15" t="n">
        <v>0.575471698113208</v>
      </c>
      <c r="D140" s="15" t="n">
        <v>0.432624113475177</v>
      </c>
      <c r="E140" s="15" t="n">
        <v>0.493927125506073</v>
      </c>
      <c r="F140" s="17" t="n">
        <v>141</v>
      </c>
      <c r="G140" s="17" t="n">
        <v>106</v>
      </c>
      <c r="H140" s="15" t="n">
        <v>0.530253408451526</v>
      </c>
      <c r="I140" s="15" t="n">
        <v>0.5</v>
      </c>
    </row>
    <row r="141" customFormat="false" ht="15" hidden="false" customHeight="false" outlineLevel="0" collapsed="false">
      <c r="A141" s="8" t="s">
        <v>78</v>
      </c>
      <c r="B141" s="8" t="s">
        <v>166</v>
      </c>
      <c r="C141" s="9" t="n">
        <v>0.677966101694915</v>
      </c>
      <c r="D141" s="9" t="n">
        <v>0.634920634920635</v>
      </c>
      <c r="E141" s="9" t="n">
        <v>0.655737704918033</v>
      </c>
      <c r="F141" s="11" t="n">
        <v>189</v>
      </c>
      <c r="G141" s="11" t="n">
        <v>177</v>
      </c>
      <c r="H141" s="9" t="n">
        <v>0.674980024321962</v>
      </c>
      <c r="I141" s="9" t="n">
        <v>0.5</v>
      </c>
    </row>
    <row r="142" customFormat="false" ht="15" hidden="false" customHeight="false" outlineLevel="0" collapsed="false">
      <c r="A142" s="14" t="s">
        <v>78</v>
      </c>
      <c r="B142" s="14" t="s">
        <v>167</v>
      </c>
      <c r="C142" s="15" t="n">
        <v>0.634674922600619</v>
      </c>
      <c r="D142" s="15" t="n">
        <v>0.597667638483965</v>
      </c>
      <c r="E142" s="15" t="n">
        <v>0.615615615615616</v>
      </c>
      <c r="F142" s="17" t="n">
        <v>343</v>
      </c>
      <c r="G142" s="17" t="n">
        <v>323</v>
      </c>
      <c r="H142" s="15" t="n">
        <v>0.678516112131971</v>
      </c>
      <c r="I142" s="15" t="n">
        <v>0.5</v>
      </c>
    </row>
    <row r="143" customFormat="false" ht="15" hidden="false" customHeight="false" outlineLevel="0" collapsed="false">
      <c r="A143" s="8" t="s">
        <v>78</v>
      </c>
      <c r="B143" s="8" t="s">
        <v>168</v>
      </c>
      <c r="C143" s="9" t="n">
        <v>0.4</v>
      </c>
      <c r="D143" s="9" t="n">
        <v>0.410714285714286</v>
      </c>
      <c r="E143" s="9" t="n">
        <v>0.405286343612335</v>
      </c>
      <c r="F143" s="11" t="n">
        <v>112</v>
      </c>
      <c r="G143" s="11" t="n">
        <v>115</v>
      </c>
      <c r="H143" s="9" t="n">
        <v>0.405401754036165</v>
      </c>
      <c r="I143" s="9" t="n">
        <v>0.5</v>
      </c>
    </row>
    <row r="144" customFormat="false" ht="15" hidden="false" customHeight="false" outlineLevel="0" collapsed="false">
      <c r="A144" s="14" t="s">
        <v>78</v>
      </c>
      <c r="B144" s="14" t="s">
        <v>169</v>
      </c>
      <c r="C144" s="15" t="n">
        <v>0.549295774647887</v>
      </c>
      <c r="D144" s="15" t="n">
        <v>0.336206896551724</v>
      </c>
      <c r="E144" s="15" t="n">
        <v>0.417112299465241</v>
      </c>
      <c r="F144" s="17" t="n">
        <v>116</v>
      </c>
      <c r="G144" s="17" t="n">
        <v>71</v>
      </c>
      <c r="H144" s="15" t="n">
        <v>0.464218848562931</v>
      </c>
      <c r="I144" s="15" t="n">
        <v>0.5</v>
      </c>
    </row>
    <row r="145" customFormat="false" ht="15" hidden="false" customHeight="false" outlineLevel="0" collapsed="false">
      <c r="A145" s="8" t="s">
        <v>79</v>
      </c>
      <c r="B145" s="8" t="s">
        <v>139</v>
      </c>
      <c r="C145" s="9" t="n">
        <v>0.841121495327103</v>
      </c>
      <c r="D145" s="9" t="n">
        <v>0.72192513368984</v>
      </c>
      <c r="E145" s="9" t="n">
        <v>0.776978417266187</v>
      </c>
      <c r="F145" s="11" t="n">
        <v>374</v>
      </c>
      <c r="G145" s="11" t="n">
        <v>321</v>
      </c>
      <c r="H145" s="9" t="n">
        <v>0.862425172540562</v>
      </c>
      <c r="I145" s="9" t="n">
        <v>0.5</v>
      </c>
    </row>
    <row r="146" customFormat="false" ht="15" hidden="false" customHeight="false" outlineLevel="0" collapsed="false">
      <c r="A146" s="14" t="s">
        <v>79</v>
      </c>
      <c r="B146" s="14" t="s">
        <v>141</v>
      </c>
      <c r="C146" s="15" t="n">
        <v>0.662162162162162</v>
      </c>
      <c r="D146" s="15" t="n">
        <v>0.5</v>
      </c>
      <c r="E146" s="15" t="n">
        <v>0.569767441860465</v>
      </c>
      <c r="F146" s="17" t="n">
        <v>98</v>
      </c>
      <c r="G146" s="17" t="n">
        <v>74</v>
      </c>
      <c r="H146" s="15" t="n">
        <v>0.639359357052524</v>
      </c>
      <c r="I146" s="15" t="n">
        <v>0.5</v>
      </c>
    </row>
    <row r="147" customFormat="false" ht="15" hidden="false" customHeight="false" outlineLevel="0" collapsed="false">
      <c r="A147" s="8" t="s">
        <v>79</v>
      </c>
      <c r="B147" s="8" t="s">
        <v>143</v>
      </c>
      <c r="C147" s="9" t="n">
        <v>0.641414141414141</v>
      </c>
      <c r="D147" s="9" t="n">
        <v>0.622549019607843</v>
      </c>
      <c r="E147" s="9" t="n">
        <v>0.631840796019901</v>
      </c>
      <c r="F147" s="11" t="n">
        <v>204</v>
      </c>
      <c r="G147" s="11" t="n">
        <v>198</v>
      </c>
      <c r="H147" s="9" t="n">
        <v>0.716823380249713</v>
      </c>
      <c r="I147" s="9" t="n">
        <v>0.5</v>
      </c>
    </row>
    <row r="148" customFormat="false" ht="15" hidden="false" customHeight="false" outlineLevel="0" collapsed="false">
      <c r="A148" s="14" t="s">
        <v>79</v>
      </c>
      <c r="B148" s="14" t="s">
        <v>144</v>
      </c>
      <c r="C148" s="15" t="n">
        <v>0.758620689655172</v>
      </c>
      <c r="D148" s="15" t="n">
        <v>0.769230769230769</v>
      </c>
      <c r="E148" s="15" t="n">
        <v>0.763888888888889</v>
      </c>
      <c r="F148" s="17" t="n">
        <v>143</v>
      </c>
      <c r="G148" s="17" t="n">
        <v>145</v>
      </c>
      <c r="H148" s="15" t="n">
        <v>0.846875273228662</v>
      </c>
      <c r="I148" s="15" t="n">
        <v>0.5</v>
      </c>
    </row>
    <row r="149" customFormat="false" ht="15" hidden="false" customHeight="false" outlineLevel="0" collapsed="false">
      <c r="A149" s="8" t="s">
        <v>79</v>
      </c>
      <c r="B149" s="8" t="s">
        <v>145</v>
      </c>
      <c r="C149" s="9" t="n">
        <v>0.591549295774648</v>
      </c>
      <c r="D149" s="9" t="n">
        <v>0.525</v>
      </c>
      <c r="E149" s="9" t="n">
        <v>0.556291390728477</v>
      </c>
      <c r="F149" s="11" t="n">
        <v>80</v>
      </c>
      <c r="G149" s="11" t="n">
        <v>71</v>
      </c>
      <c r="H149" s="9" t="n">
        <v>0.594822877223707</v>
      </c>
      <c r="I149" s="9" t="n">
        <v>0.5</v>
      </c>
    </row>
    <row r="150" customFormat="false" ht="15" hidden="false" customHeight="false" outlineLevel="0" collapsed="false">
      <c r="A150" s="14" t="s">
        <v>79</v>
      </c>
      <c r="B150" s="14" t="s">
        <v>147</v>
      </c>
      <c r="C150" s="15" t="n">
        <v>0.798387096774194</v>
      </c>
      <c r="D150" s="15" t="n">
        <v>0.697183098591549</v>
      </c>
      <c r="E150" s="15" t="n">
        <v>0.744360902255639</v>
      </c>
      <c r="F150" s="17" t="n">
        <v>142</v>
      </c>
      <c r="G150" s="17" t="n">
        <v>124</v>
      </c>
      <c r="H150" s="15" t="n">
        <v>0.817990421031286</v>
      </c>
      <c r="I150" s="15" t="n">
        <v>0.5</v>
      </c>
    </row>
    <row r="151" customFormat="false" ht="15" hidden="false" customHeight="false" outlineLevel="0" collapsed="false">
      <c r="A151" s="8" t="s">
        <v>79</v>
      </c>
      <c r="B151" s="8" t="s">
        <v>148</v>
      </c>
      <c r="C151" s="9" t="n">
        <v>0.719178082191781</v>
      </c>
      <c r="D151" s="9" t="n">
        <v>0.7</v>
      </c>
      <c r="E151" s="9" t="n">
        <v>0.709459459459459</v>
      </c>
      <c r="F151" s="11" t="n">
        <v>150</v>
      </c>
      <c r="G151" s="11" t="n">
        <v>146</v>
      </c>
      <c r="H151" s="9" t="n">
        <v>0.776634613245048</v>
      </c>
      <c r="I151" s="9" t="n">
        <v>0.5</v>
      </c>
    </row>
    <row r="152" customFormat="false" ht="15" hidden="false" customHeight="false" outlineLevel="0" collapsed="false">
      <c r="A152" s="14" t="s">
        <v>79</v>
      </c>
      <c r="B152" s="14" t="s">
        <v>149</v>
      </c>
      <c r="C152" s="15" t="n">
        <v>0.846153846153846</v>
      </c>
      <c r="D152" s="15" t="n">
        <v>0.63953488372093</v>
      </c>
      <c r="E152" s="15" t="n">
        <v>0.728476821192053</v>
      </c>
      <c r="F152" s="17" t="n">
        <v>86</v>
      </c>
      <c r="G152" s="17" t="n">
        <v>65</v>
      </c>
      <c r="H152" s="15" t="n">
        <v>0.830530395211157</v>
      </c>
      <c r="I152" s="15" t="n">
        <v>0.5</v>
      </c>
    </row>
    <row r="153" customFormat="false" ht="15" hidden="false" customHeight="false" outlineLevel="0" collapsed="false">
      <c r="A153" s="8" t="s">
        <v>79</v>
      </c>
      <c r="B153" s="8" t="s">
        <v>150</v>
      </c>
      <c r="C153" s="9" t="n">
        <v>0.680851063829787</v>
      </c>
      <c r="D153" s="9" t="n">
        <v>0.633663366336634</v>
      </c>
      <c r="E153" s="9" t="n">
        <v>0.656410256410256</v>
      </c>
      <c r="F153" s="11" t="n">
        <v>101</v>
      </c>
      <c r="G153" s="11" t="n">
        <v>94</v>
      </c>
      <c r="H153" s="9" t="n">
        <v>0.71180223893387</v>
      </c>
      <c r="I153" s="9" t="n">
        <v>0.5</v>
      </c>
    </row>
    <row r="154" customFormat="false" ht="15" hidden="false" customHeight="false" outlineLevel="0" collapsed="false">
      <c r="A154" s="14" t="s">
        <v>79</v>
      </c>
      <c r="B154" s="14" t="s">
        <v>151</v>
      </c>
      <c r="C154" s="15" t="n">
        <v>0.857142857142857</v>
      </c>
      <c r="D154" s="15" t="n">
        <v>0.888888888888889</v>
      </c>
      <c r="E154" s="15" t="n">
        <v>0.872727272727273</v>
      </c>
      <c r="F154" s="17" t="n">
        <v>108</v>
      </c>
      <c r="G154" s="17" t="n">
        <v>112</v>
      </c>
      <c r="H154" s="15" t="n">
        <v>0.959098866905212</v>
      </c>
      <c r="I154" s="15" t="n">
        <v>0.5</v>
      </c>
    </row>
    <row r="155" customFormat="false" ht="15" hidden="false" customHeight="false" outlineLevel="0" collapsed="false">
      <c r="A155" s="8" t="s">
        <v>79</v>
      </c>
      <c r="B155" s="8" t="s">
        <v>152</v>
      </c>
      <c r="C155" s="9" t="n">
        <v>0.666666666666667</v>
      </c>
      <c r="D155" s="9" t="n">
        <v>0.6</v>
      </c>
      <c r="E155" s="9" t="n">
        <v>0.631578947368421</v>
      </c>
      <c r="F155" s="11" t="n">
        <v>60</v>
      </c>
      <c r="G155" s="11" t="n">
        <v>54</v>
      </c>
      <c r="H155" s="9" t="n">
        <v>0.662853904555734</v>
      </c>
      <c r="I155" s="9" t="n">
        <v>0.5</v>
      </c>
    </row>
    <row r="156" customFormat="false" ht="15" hidden="false" customHeight="false" outlineLevel="0" collapsed="false">
      <c r="A156" s="14" t="s">
        <v>79</v>
      </c>
      <c r="B156" s="14" t="s">
        <v>153</v>
      </c>
      <c r="C156" s="15" t="n">
        <v>0.70873786407767</v>
      </c>
      <c r="D156" s="15" t="n">
        <v>0.634782608695652</v>
      </c>
      <c r="E156" s="15" t="n">
        <v>0.669724770642202</v>
      </c>
      <c r="F156" s="17" t="n">
        <v>115</v>
      </c>
      <c r="G156" s="17" t="n">
        <v>103</v>
      </c>
      <c r="H156" s="15" t="n">
        <v>0.755768199973024</v>
      </c>
      <c r="I156" s="15" t="n">
        <v>0.5</v>
      </c>
    </row>
    <row r="157" customFormat="false" ht="15" hidden="false" customHeight="false" outlineLevel="0" collapsed="false">
      <c r="A157" s="8" t="s">
        <v>79</v>
      </c>
      <c r="B157" s="8" t="s">
        <v>154</v>
      </c>
      <c r="C157" s="9" t="n">
        <v>0.597014925373134</v>
      </c>
      <c r="D157" s="9" t="n">
        <v>0.421052631578947</v>
      </c>
      <c r="E157" s="9" t="n">
        <v>0.493827160493827</v>
      </c>
      <c r="F157" s="11" t="n">
        <v>95</v>
      </c>
      <c r="G157" s="11" t="n">
        <v>67</v>
      </c>
      <c r="H157" s="9" t="n">
        <v>0.494735338268641</v>
      </c>
      <c r="I157" s="9" t="n">
        <v>0.5</v>
      </c>
    </row>
    <row r="158" customFormat="false" ht="15" hidden="false" customHeight="false" outlineLevel="0" collapsed="false">
      <c r="A158" s="14" t="s">
        <v>79</v>
      </c>
      <c r="B158" s="14" t="s">
        <v>155</v>
      </c>
      <c r="C158" s="15" t="n">
        <v>0.7</v>
      </c>
      <c r="D158" s="15" t="n">
        <v>0.494117647058824</v>
      </c>
      <c r="E158" s="15" t="n">
        <v>0.579310344827586</v>
      </c>
      <c r="F158" s="17" t="n">
        <v>85</v>
      </c>
      <c r="G158" s="17" t="n">
        <v>60</v>
      </c>
      <c r="H158" s="15" t="n">
        <v>0.670923995898117</v>
      </c>
      <c r="I158" s="15" t="n">
        <v>0.5</v>
      </c>
    </row>
    <row r="159" customFormat="false" ht="15" hidden="false" customHeight="false" outlineLevel="0" collapsed="false">
      <c r="A159" s="8" t="s">
        <v>79</v>
      </c>
      <c r="B159" s="8" t="s">
        <v>156</v>
      </c>
      <c r="C159" s="9" t="n">
        <v>0.780487804878049</v>
      </c>
      <c r="D159" s="9" t="n">
        <v>0.64</v>
      </c>
      <c r="E159" s="9" t="n">
        <v>0.703296703296703</v>
      </c>
      <c r="F159" s="11" t="n">
        <v>100</v>
      </c>
      <c r="G159" s="11" t="n">
        <v>82</v>
      </c>
      <c r="H159" s="9" t="n">
        <v>0.773469976543299</v>
      </c>
      <c r="I159" s="9" t="n">
        <v>0.5</v>
      </c>
    </row>
    <row r="160" customFormat="false" ht="15" hidden="false" customHeight="false" outlineLevel="0" collapsed="false">
      <c r="A160" s="14" t="s">
        <v>79</v>
      </c>
      <c r="B160" s="14" t="s">
        <v>157</v>
      </c>
      <c r="C160" s="15" t="n">
        <v>0.60655737704918</v>
      </c>
      <c r="D160" s="15" t="n">
        <v>0.44047619047619</v>
      </c>
      <c r="E160" s="15" t="n">
        <v>0.510344827586207</v>
      </c>
      <c r="F160" s="17" t="n">
        <v>84</v>
      </c>
      <c r="G160" s="17" t="n">
        <v>61</v>
      </c>
      <c r="H160" s="15" t="n">
        <v>0.548481951767632</v>
      </c>
      <c r="I160" s="15" t="n">
        <v>0.5</v>
      </c>
    </row>
    <row r="161" customFormat="false" ht="15" hidden="false" customHeight="false" outlineLevel="0" collapsed="false">
      <c r="A161" s="8" t="s">
        <v>79</v>
      </c>
      <c r="B161" s="8" t="s">
        <v>158</v>
      </c>
      <c r="C161" s="9" t="n">
        <v>0.8</v>
      </c>
      <c r="D161" s="9" t="n">
        <v>0.653061224489796</v>
      </c>
      <c r="E161" s="9" t="n">
        <v>0.719101123595506</v>
      </c>
      <c r="F161" s="11" t="n">
        <v>98</v>
      </c>
      <c r="G161" s="11" t="n">
        <v>80</v>
      </c>
      <c r="H161" s="9" t="n">
        <v>0.791298107981622</v>
      </c>
      <c r="I161" s="9" t="n">
        <v>0.5</v>
      </c>
    </row>
    <row r="162" customFormat="false" ht="15" hidden="false" customHeight="false" outlineLevel="0" collapsed="false">
      <c r="A162" s="14" t="s">
        <v>79</v>
      </c>
      <c r="B162" s="14" t="s">
        <v>159</v>
      </c>
      <c r="C162" s="15" t="n">
        <v>0.719298245614035</v>
      </c>
      <c r="D162" s="15" t="n">
        <v>0.427083333333333</v>
      </c>
      <c r="E162" s="15" t="n">
        <v>0.535947712418301</v>
      </c>
      <c r="F162" s="17" t="n">
        <v>96</v>
      </c>
      <c r="G162" s="17" t="n">
        <v>57</v>
      </c>
      <c r="H162" s="15" t="n">
        <v>0.658534200106265</v>
      </c>
      <c r="I162" s="15" t="n">
        <v>0.5</v>
      </c>
    </row>
    <row r="163" customFormat="false" ht="15" hidden="false" customHeight="false" outlineLevel="0" collapsed="false">
      <c r="A163" s="8" t="s">
        <v>79</v>
      </c>
      <c r="B163" s="8" t="s">
        <v>160</v>
      </c>
      <c r="C163" s="9" t="n">
        <v>0.792207792207792</v>
      </c>
      <c r="D163" s="9" t="n">
        <v>0.701149425287356</v>
      </c>
      <c r="E163" s="9" t="n">
        <v>0.74390243902439</v>
      </c>
      <c r="F163" s="11" t="n">
        <v>87</v>
      </c>
      <c r="G163" s="11" t="n">
        <v>77</v>
      </c>
      <c r="H163" s="9" t="n">
        <v>0.837773953286994</v>
      </c>
      <c r="I163" s="9" t="n">
        <v>0.5</v>
      </c>
    </row>
    <row r="164" customFormat="false" ht="15" hidden="false" customHeight="false" outlineLevel="0" collapsed="false">
      <c r="A164" s="14" t="s">
        <v>79</v>
      </c>
      <c r="B164" s="14" t="s">
        <v>161</v>
      </c>
      <c r="C164" s="15" t="n">
        <v>0.907216494845361</v>
      </c>
      <c r="D164" s="15" t="n">
        <v>0.822429906542056</v>
      </c>
      <c r="E164" s="15" t="n">
        <v>0.862745098039216</v>
      </c>
      <c r="F164" s="17" t="n">
        <v>107</v>
      </c>
      <c r="G164" s="17" t="n">
        <v>97</v>
      </c>
      <c r="H164" s="15" t="n">
        <v>0.933759259785129</v>
      </c>
      <c r="I164" s="15" t="n">
        <v>0.5</v>
      </c>
    </row>
    <row r="165" customFormat="false" ht="15" hidden="false" customHeight="false" outlineLevel="0" collapsed="false">
      <c r="A165" s="8" t="s">
        <v>79</v>
      </c>
      <c r="B165" s="8" t="s">
        <v>162</v>
      </c>
      <c r="C165" s="9" t="n">
        <v>0.541666666666667</v>
      </c>
      <c r="D165" s="9" t="n">
        <v>0.461928934010152</v>
      </c>
      <c r="E165" s="9" t="n">
        <v>0.498630136986301</v>
      </c>
      <c r="F165" s="11" t="n">
        <v>197</v>
      </c>
      <c r="G165" s="11" t="n">
        <v>168</v>
      </c>
      <c r="H165" s="9" t="n">
        <v>0.559004620254918</v>
      </c>
      <c r="I165" s="9" t="n">
        <v>0.5</v>
      </c>
    </row>
    <row r="166" customFormat="false" ht="15" hidden="false" customHeight="false" outlineLevel="0" collapsed="false">
      <c r="A166" s="14" t="s">
        <v>79</v>
      </c>
      <c r="B166" s="14" t="s">
        <v>163</v>
      </c>
      <c r="C166" s="15" t="n">
        <v>0.744444444444445</v>
      </c>
      <c r="D166" s="15" t="n">
        <v>0.776811594202899</v>
      </c>
      <c r="E166" s="15" t="n">
        <v>0.760283687943262</v>
      </c>
      <c r="F166" s="17" t="n">
        <v>345</v>
      </c>
      <c r="G166" s="17" t="n">
        <v>360</v>
      </c>
      <c r="H166" s="15" t="n">
        <v>0.824424950969578</v>
      </c>
      <c r="I166" s="15" t="n">
        <v>0.5</v>
      </c>
    </row>
    <row r="167" customFormat="false" ht="15" hidden="false" customHeight="false" outlineLevel="0" collapsed="false">
      <c r="A167" s="8" t="s">
        <v>79</v>
      </c>
      <c r="B167" s="8" t="s">
        <v>164</v>
      </c>
      <c r="C167" s="9" t="n">
        <v>0.639175257731959</v>
      </c>
      <c r="D167" s="9" t="n">
        <v>0.72093023255814</v>
      </c>
      <c r="E167" s="9" t="n">
        <v>0.677595628415301</v>
      </c>
      <c r="F167" s="11" t="n">
        <v>86</v>
      </c>
      <c r="G167" s="11" t="n">
        <v>97</v>
      </c>
      <c r="H167" s="9" t="n">
        <v>0.761214093554485</v>
      </c>
      <c r="I167" s="9" t="n">
        <v>0.5</v>
      </c>
    </row>
    <row r="168" customFormat="false" ht="15" hidden="false" customHeight="false" outlineLevel="0" collapsed="false">
      <c r="A168" s="14" t="s">
        <v>79</v>
      </c>
      <c r="B168" s="14" t="s">
        <v>165</v>
      </c>
      <c r="C168" s="15" t="n">
        <v>0.598039215686275</v>
      </c>
      <c r="D168" s="15" t="n">
        <v>0.432624113475177</v>
      </c>
      <c r="E168" s="15" t="n">
        <v>0.502057613168724</v>
      </c>
      <c r="F168" s="17" t="n">
        <v>141</v>
      </c>
      <c r="G168" s="17" t="n">
        <v>102</v>
      </c>
      <c r="H168" s="15" t="n">
        <v>0.552923519810428</v>
      </c>
      <c r="I168" s="15" t="n">
        <v>0.5</v>
      </c>
    </row>
    <row r="169" customFormat="false" ht="15" hidden="false" customHeight="false" outlineLevel="0" collapsed="false">
      <c r="A169" s="8" t="s">
        <v>79</v>
      </c>
      <c r="B169" s="8" t="s">
        <v>166</v>
      </c>
      <c r="C169" s="9" t="n">
        <v>0.681818181818182</v>
      </c>
      <c r="D169" s="9" t="n">
        <v>0.634920634920635</v>
      </c>
      <c r="E169" s="9" t="n">
        <v>0.657534246575342</v>
      </c>
      <c r="F169" s="11" t="n">
        <v>189</v>
      </c>
      <c r="G169" s="11" t="n">
        <v>176</v>
      </c>
      <c r="H169" s="9" t="n">
        <v>0.693195679465602</v>
      </c>
      <c r="I169" s="9" t="n">
        <v>0.5</v>
      </c>
    </row>
    <row r="170" customFormat="false" ht="15" hidden="false" customHeight="false" outlineLevel="0" collapsed="false">
      <c r="A170" s="14" t="s">
        <v>79</v>
      </c>
      <c r="B170" s="14" t="s">
        <v>167</v>
      </c>
      <c r="C170" s="15" t="n">
        <v>0.686274509803922</v>
      </c>
      <c r="D170" s="15" t="n">
        <v>0.612244897959184</v>
      </c>
      <c r="E170" s="15" t="n">
        <v>0.647149460708783</v>
      </c>
      <c r="F170" s="17" t="n">
        <v>343</v>
      </c>
      <c r="G170" s="17" t="n">
        <v>306</v>
      </c>
      <c r="H170" s="15" t="n">
        <v>0.712819725605437</v>
      </c>
      <c r="I170" s="15" t="n">
        <v>0.5</v>
      </c>
    </row>
    <row r="171" customFormat="false" ht="15" hidden="false" customHeight="false" outlineLevel="0" collapsed="false">
      <c r="A171" s="8" t="s">
        <v>79</v>
      </c>
      <c r="B171" s="8" t="s">
        <v>168</v>
      </c>
      <c r="C171" s="9" t="n">
        <v>0.5</v>
      </c>
      <c r="D171" s="9" t="n">
        <v>0.321428571428571</v>
      </c>
      <c r="E171" s="9" t="n">
        <v>0.391304347826087</v>
      </c>
      <c r="F171" s="11" t="n">
        <v>112</v>
      </c>
      <c r="G171" s="11" t="n">
        <v>72</v>
      </c>
      <c r="H171" s="9" t="n">
        <v>0.41568046907937</v>
      </c>
      <c r="I171" s="9" t="n">
        <v>0.5</v>
      </c>
    </row>
    <row r="172" customFormat="false" ht="15" hidden="false" customHeight="false" outlineLevel="0" collapsed="false">
      <c r="A172" s="14" t="s">
        <v>79</v>
      </c>
      <c r="B172" s="14" t="s">
        <v>169</v>
      </c>
      <c r="C172" s="15" t="n">
        <v>0.542857142857143</v>
      </c>
      <c r="D172" s="15" t="n">
        <v>0.327586206896552</v>
      </c>
      <c r="E172" s="15" t="n">
        <v>0.408602150537634</v>
      </c>
      <c r="F172" s="17" t="n">
        <v>116</v>
      </c>
      <c r="G172" s="17" t="n">
        <v>70</v>
      </c>
      <c r="H172" s="15" t="n">
        <v>0.486515323094061</v>
      </c>
      <c r="I172" s="15" t="n">
        <v>0.5</v>
      </c>
    </row>
  </sheetData>
  <autoFilter ref="A4:I1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4" customFormat="false" ht="15" hidden="false" customHeight="false" outlineLevel="0" collapsed="false">
      <c r="A4" s="6" t="s">
        <v>83</v>
      </c>
      <c r="B4" s="6" t="s">
        <v>182</v>
      </c>
      <c r="C4" s="6" t="s">
        <v>183</v>
      </c>
      <c r="D4" s="6" t="s">
        <v>134</v>
      </c>
      <c r="E4" s="6" t="s">
        <v>175</v>
      </c>
      <c r="F4" s="6" t="s">
        <v>135</v>
      </c>
      <c r="G4" s="6" t="s">
        <v>136</v>
      </c>
    </row>
    <row r="5" customFormat="false" ht="15" hidden="false" customHeight="false" outlineLevel="0" collapsed="false">
      <c r="A5" s="37" t="s">
        <v>72</v>
      </c>
      <c r="B5" s="37" t="s">
        <v>184</v>
      </c>
      <c r="C5" s="38" t="n">
        <v>1</v>
      </c>
      <c r="D5" s="37" t="s">
        <v>151</v>
      </c>
      <c r="E5" s="39" t="n">
        <v>0.8455</v>
      </c>
      <c r="F5" s="38" t="n">
        <v>765</v>
      </c>
      <c r="G5" s="37" t="s">
        <v>142</v>
      </c>
    </row>
    <row r="6" customFormat="false" ht="15" hidden="false" customHeight="false" outlineLevel="0" collapsed="false">
      <c r="A6" s="37" t="s">
        <v>72</v>
      </c>
      <c r="B6" s="37" t="s">
        <v>184</v>
      </c>
      <c r="C6" s="38" t="n">
        <v>2</v>
      </c>
      <c r="D6" s="37" t="s">
        <v>161</v>
      </c>
      <c r="E6" s="39" t="n">
        <v>0.7692</v>
      </c>
      <c r="F6" s="38" t="n">
        <v>885</v>
      </c>
      <c r="G6" s="37" t="s">
        <v>142</v>
      </c>
    </row>
    <row r="7" customFormat="false" ht="15" hidden="false" customHeight="false" outlineLevel="0" collapsed="false">
      <c r="A7" s="37" t="s">
        <v>72</v>
      </c>
      <c r="B7" s="37" t="s">
        <v>184</v>
      </c>
      <c r="C7" s="38" t="n">
        <v>3</v>
      </c>
      <c r="D7" s="37" t="s">
        <v>139</v>
      </c>
      <c r="E7" s="39" t="n">
        <v>0.7285</v>
      </c>
      <c r="F7" s="38" t="n">
        <v>2868</v>
      </c>
      <c r="G7" s="37" t="s">
        <v>140</v>
      </c>
    </row>
    <row r="8" customFormat="false" ht="15" hidden="false" customHeight="false" outlineLevel="0" collapsed="false">
      <c r="A8" s="37" t="s">
        <v>72</v>
      </c>
      <c r="B8" s="37" t="s">
        <v>184</v>
      </c>
      <c r="C8" s="38" t="n">
        <v>4</v>
      </c>
      <c r="D8" s="37" t="s">
        <v>160</v>
      </c>
      <c r="E8" s="39" t="n">
        <v>0.7053</v>
      </c>
      <c r="F8" s="38" t="n">
        <v>707</v>
      </c>
      <c r="G8" s="37" t="s">
        <v>146</v>
      </c>
    </row>
    <row r="9" customFormat="false" ht="15" hidden="false" customHeight="false" outlineLevel="0" collapsed="false">
      <c r="A9" s="37" t="s">
        <v>72</v>
      </c>
      <c r="B9" s="37" t="s">
        <v>184</v>
      </c>
      <c r="C9" s="38" t="n">
        <v>5</v>
      </c>
      <c r="D9" s="37" t="s">
        <v>158</v>
      </c>
      <c r="E9" s="39" t="n">
        <v>0.6832</v>
      </c>
      <c r="F9" s="38" t="n">
        <v>745</v>
      </c>
      <c r="G9" s="37" t="s">
        <v>146</v>
      </c>
    </row>
    <row r="10" customFormat="false" ht="15" hidden="false" customHeight="false" outlineLevel="0" collapsed="false">
      <c r="A10" s="40" t="s">
        <v>72</v>
      </c>
      <c r="B10" s="40" t="s">
        <v>185</v>
      </c>
      <c r="C10" s="41" t="n">
        <v>24</v>
      </c>
      <c r="D10" s="40" t="s">
        <v>162</v>
      </c>
      <c r="E10" s="42" t="n">
        <v>0.4047</v>
      </c>
      <c r="F10" s="41" t="n">
        <v>1522</v>
      </c>
      <c r="G10" s="40" t="s">
        <v>140</v>
      </c>
    </row>
    <row r="11" customFormat="false" ht="15" hidden="false" customHeight="false" outlineLevel="0" collapsed="false">
      <c r="A11" s="40" t="s">
        <v>72</v>
      </c>
      <c r="B11" s="40" t="s">
        <v>185</v>
      </c>
      <c r="C11" s="41" t="n">
        <v>25</v>
      </c>
      <c r="D11" s="40" t="s">
        <v>157</v>
      </c>
      <c r="E11" s="42" t="n">
        <v>0.3933</v>
      </c>
      <c r="F11" s="41" t="n">
        <v>676</v>
      </c>
      <c r="G11" s="40" t="s">
        <v>146</v>
      </c>
    </row>
    <row r="12" customFormat="false" ht="15" hidden="false" customHeight="false" outlineLevel="0" collapsed="false">
      <c r="A12" s="40" t="s">
        <v>72</v>
      </c>
      <c r="B12" s="40" t="s">
        <v>185</v>
      </c>
      <c r="C12" s="41" t="n">
        <v>26</v>
      </c>
      <c r="D12" s="40" t="s">
        <v>154</v>
      </c>
      <c r="E12" s="42" t="n">
        <v>0.3768</v>
      </c>
      <c r="F12" s="41" t="n">
        <v>687</v>
      </c>
      <c r="G12" s="40" t="s">
        <v>146</v>
      </c>
    </row>
    <row r="13" customFormat="false" ht="15" hidden="false" customHeight="false" outlineLevel="0" collapsed="false">
      <c r="A13" s="40" t="s">
        <v>72</v>
      </c>
      <c r="B13" s="40" t="s">
        <v>185</v>
      </c>
      <c r="C13" s="41" t="n">
        <v>27</v>
      </c>
      <c r="D13" s="40" t="s">
        <v>168</v>
      </c>
      <c r="E13" s="42" t="n">
        <v>0.3345</v>
      </c>
      <c r="F13" s="41" t="n">
        <v>969</v>
      </c>
      <c r="G13" s="40" t="s">
        <v>142</v>
      </c>
    </row>
    <row r="14" customFormat="false" ht="15" hidden="false" customHeight="false" outlineLevel="0" collapsed="false">
      <c r="A14" s="40" t="s">
        <v>72</v>
      </c>
      <c r="B14" s="40" t="s">
        <v>185</v>
      </c>
      <c r="C14" s="41" t="n">
        <v>28</v>
      </c>
      <c r="D14" s="40" t="s">
        <v>169</v>
      </c>
      <c r="E14" s="42" t="n">
        <v>0.206</v>
      </c>
      <c r="F14" s="41" t="n">
        <v>821</v>
      </c>
      <c r="G14" s="40" t="s">
        <v>142</v>
      </c>
    </row>
    <row r="15" customFormat="false" ht="15" hidden="false" customHeight="false" outlineLevel="0" collapsed="false">
      <c r="A15" s="37" t="s">
        <v>74</v>
      </c>
      <c r="B15" s="37" t="s">
        <v>184</v>
      </c>
      <c r="C15" s="38" t="n">
        <v>1</v>
      </c>
      <c r="D15" s="37" t="s">
        <v>151</v>
      </c>
      <c r="E15" s="39" t="n">
        <v>0.819</v>
      </c>
      <c r="F15" s="38" t="n">
        <v>765</v>
      </c>
      <c r="G15" s="37" t="s">
        <v>142</v>
      </c>
    </row>
    <row r="16" customFormat="false" ht="15" hidden="false" customHeight="false" outlineLevel="0" collapsed="false">
      <c r="A16" s="37" t="s">
        <v>74</v>
      </c>
      <c r="B16" s="37" t="s">
        <v>184</v>
      </c>
      <c r="C16" s="38" t="n">
        <v>2</v>
      </c>
      <c r="D16" s="37" t="s">
        <v>161</v>
      </c>
      <c r="E16" s="39" t="n">
        <v>0.7538</v>
      </c>
      <c r="F16" s="38" t="n">
        <v>885</v>
      </c>
      <c r="G16" s="37" t="s">
        <v>142</v>
      </c>
    </row>
    <row r="17" customFormat="false" ht="15" hidden="false" customHeight="false" outlineLevel="0" collapsed="false">
      <c r="A17" s="37" t="s">
        <v>74</v>
      </c>
      <c r="B17" s="37" t="s">
        <v>184</v>
      </c>
      <c r="C17" s="38" t="n">
        <v>3</v>
      </c>
      <c r="D17" s="37" t="s">
        <v>160</v>
      </c>
      <c r="E17" s="39" t="n">
        <v>0.6946</v>
      </c>
      <c r="F17" s="38" t="n">
        <v>707</v>
      </c>
      <c r="G17" s="37" t="s">
        <v>146</v>
      </c>
    </row>
    <row r="18" customFormat="false" ht="15" hidden="false" customHeight="false" outlineLevel="0" collapsed="false">
      <c r="A18" s="37" t="s">
        <v>74</v>
      </c>
      <c r="B18" s="37" t="s">
        <v>184</v>
      </c>
      <c r="C18" s="38" t="n">
        <v>4</v>
      </c>
      <c r="D18" s="37" t="s">
        <v>139</v>
      </c>
      <c r="E18" s="39" t="n">
        <v>0.6857</v>
      </c>
      <c r="F18" s="38" t="n">
        <v>2868</v>
      </c>
      <c r="G18" s="37" t="s">
        <v>140</v>
      </c>
    </row>
    <row r="19" customFormat="false" ht="15" hidden="false" customHeight="false" outlineLevel="0" collapsed="false">
      <c r="A19" s="37" t="s">
        <v>74</v>
      </c>
      <c r="B19" s="37" t="s">
        <v>184</v>
      </c>
      <c r="C19" s="38" t="n">
        <v>5</v>
      </c>
      <c r="D19" s="37" t="s">
        <v>144</v>
      </c>
      <c r="E19" s="39" t="n">
        <v>0.6737</v>
      </c>
      <c r="F19" s="38" t="n">
        <v>1175</v>
      </c>
      <c r="G19" s="37" t="s">
        <v>140</v>
      </c>
    </row>
    <row r="20" customFormat="false" ht="15" hidden="false" customHeight="false" outlineLevel="0" collapsed="false">
      <c r="A20" s="40" t="s">
        <v>74</v>
      </c>
      <c r="B20" s="40" t="s">
        <v>185</v>
      </c>
      <c r="C20" s="41" t="n">
        <v>24</v>
      </c>
      <c r="D20" s="40" t="s">
        <v>141</v>
      </c>
      <c r="E20" s="42" t="n">
        <v>0.3797</v>
      </c>
      <c r="F20" s="41" t="n">
        <v>824</v>
      </c>
      <c r="G20" s="40" t="s">
        <v>142</v>
      </c>
    </row>
    <row r="21" customFormat="false" ht="15" hidden="false" customHeight="false" outlineLevel="0" collapsed="false">
      <c r="A21" s="40" t="s">
        <v>74</v>
      </c>
      <c r="B21" s="40" t="s">
        <v>185</v>
      </c>
      <c r="C21" s="41" t="n">
        <v>25</v>
      </c>
      <c r="D21" s="40" t="s">
        <v>162</v>
      </c>
      <c r="E21" s="42" t="n">
        <v>0.3593</v>
      </c>
      <c r="F21" s="41" t="n">
        <v>1522</v>
      </c>
      <c r="G21" s="40" t="s">
        <v>140</v>
      </c>
    </row>
    <row r="22" customFormat="false" ht="15" hidden="false" customHeight="false" outlineLevel="0" collapsed="false">
      <c r="A22" s="40" t="s">
        <v>74</v>
      </c>
      <c r="B22" s="40" t="s">
        <v>185</v>
      </c>
      <c r="C22" s="41" t="n">
        <v>26</v>
      </c>
      <c r="D22" s="40" t="s">
        <v>154</v>
      </c>
      <c r="E22" s="42" t="n">
        <v>0.2436</v>
      </c>
      <c r="F22" s="41" t="n">
        <v>687</v>
      </c>
      <c r="G22" s="40" t="s">
        <v>146</v>
      </c>
    </row>
    <row r="23" customFormat="false" ht="15" hidden="false" customHeight="false" outlineLevel="0" collapsed="false">
      <c r="A23" s="40" t="s">
        <v>74</v>
      </c>
      <c r="B23" s="40" t="s">
        <v>185</v>
      </c>
      <c r="C23" s="41" t="n">
        <v>27</v>
      </c>
      <c r="D23" s="40" t="s">
        <v>169</v>
      </c>
      <c r="E23" s="42" t="n">
        <v>0.2212</v>
      </c>
      <c r="F23" s="41" t="n">
        <v>821</v>
      </c>
      <c r="G23" s="40" t="s">
        <v>142</v>
      </c>
    </row>
    <row r="24" customFormat="false" ht="15" hidden="false" customHeight="false" outlineLevel="0" collapsed="false">
      <c r="A24" s="40" t="s">
        <v>74</v>
      </c>
      <c r="B24" s="40" t="s">
        <v>185</v>
      </c>
      <c r="C24" s="41" t="n">
        <v>28</v>
      </c>
      <c r="D24" s="40" t="s">
        <v>168</v>
      </c>
      <c r="E24" s="42" t="n">
        <v>0.1868</v>
      </c>
      <c r="F24" s="41" t="n">
        <v>969</v>
      </c>
      <c r="G24" s="40" t="s">
        <v>142</v>
      </c>
    </row>
    <row r="25" customFormat="false" ht="15" hidden="false" customHeight="false" outlineLevel="0" collapsed="false">
      <c r="A25" s="37" t="s">
        <v>75</v>
      </c>
      <c r="B25" s="37" t="s">
        <v>184</v>
      </c>
      <c r="C25" s="38" t="n">
        <v>1</v>
      </c>
      <c r="D25" s="37" t="s">
        <v>161</v>
      </c>
      <c r="E25" s="39" t="n">
        <v>0.8807</v>
      </c>
      <c r="F25" s="38" t="n">
        <v>885</v>
      </c>
      <c r="G25" s="37" t="s">
        <v>142</v>
      </c>
    </row>
    <row r="26" customFormat="false" ht="15" hidden="false" customHeight="false" outlineLevel="0" collapsed="false">
      <c r="A26" s="37" t="s">
        <v>75</v>
      </c>
      <c r="B26" s="37" t="s">
        <v>184</v>
      </c>
      <c r="C26" s="38" t="n">
        <v>2</v>
      </c>
      <c r="D26" s="37" t="s">
        <v>151</v>
      </c>
      <c r="E26" s="39" t="n">
        <v>0.8598</v>
      </c>
      <c r="F26" s="38" t="n">
        <v>765</v>
      </c>
      <c r="G26" s="37" t="s">
        <v>142</v>
      </c>
    </row>
    <row r="27" customFormat="false" ht="15" hidden="false" customHeight="false" outlineLevel="0" collapsed="false">
      <c r="A27" s="37" t="s">
        <v>75</v>
      </c>
      <c r="B27" s="37" t="s">
        <v>184</v>
      </c>
      <c r="C27" s="38" t="n">
        <v>3</v>
      </c>
      <c r="D27" s="37" t="s">
        <v>139</v>
      </c>
      <c r="E27" s="39" t="n">
        <v>0.7664</v>
      </c>
      <c r="F27" s="38" t="n">
        <v>2868</v>
      </c>
      <c r="G27" s="37" t="s">
        <v>140</v>
      </c>
    </row>
    <row r="28" customFormat="false" ht="15" hidden="false" customHeight="false" outlineLevel="0" collapsed="false">
      <c r="A28" s="37" t="s">
        <v>75</v>
      </c>
      <c r="B28" s="37" t="s">
        <v>184</v>
      </c>
      <c r="C28" s="38" t="n">
        <v>4</v>
      </c>
      <c r="D28" s="37" t="s">
        <v>147</v>
      </c>
      <c r="E28" s="39" t="n">
        <v>0.7609</v>
      </c>
      <c r="F28" s="38" t="n">
        <v>1046</v>
      </c>
      <c r="G28" s="37" t="s">
        <v>142</v>
      </c>
    </row>
    <row r="29" customFormat="false" ht="15" hidden="false" customHeight="false" outlineLevel="0" collapsed="false">
      <c r="A29" s="37" t="s">
        <v>75</v>
      </c>
      <c r="B29" s="37" t="s">
        <v>184</v>
      </c>
      <c r="C29" s="38" t="n">
        <v>5</v>
      </c>
      <c r="D29" s="37" t="s">
        <v>160</v>
      </c>
      <c r="E29" s="39" t="n">
        <v>0.7425</v>
      </c>
      <c r="F29" s="38" t="n">
        <v>707</v>
      </c>
      <c r="G29" s="37" t="s">
        <v>146</v>
      </c>
    </row>
    <row r="30" customFormat="false" ht="15" hidden="false" customHeight="false" outlineLevel="0" collapsed="false">
      <c r="A30" s="40" t="s">
        <v>75</v>
      </c>
      <c r="B30" s="40" t="s">
        <v>185</v>
      </c>
      <c r="C30" s="41" t="n">
        <v>24</v>
      </c>
      <c r="D30" s="40" t="s">
        <v>165</v>
      </c>
      <c r="E30" s="42" t="n">
        <v>0.5</v>
      </c>
      <c r="F30" s="41" t="n">
        <v>1206</v>
      </c>
      <c r="G30" s="40" t="s">
        <v>140</v>
      </c>
    </row>
    <row r="31" customFormat="false" ht="15" hidden="false" customHeight="false" outlineLevel="0" collapsed="false">
      <c r="A31" s="40" t="s">
        <v>75</v>
      </c>
      <c r="B31" s="40" t="s">
        <v>185</v>
      </c>
      <c r="C31" s="41" t="n">
        <v>25</v>
      </c>
      <c r="D31" s="40" t="s">
        <v>157</v>
      </c>
      <c r="E31" s="42" t="n">
        <v>0.4645</v>
      </c>
      <c r="F31" s="41" t="n">
        <v>676</v>
      </c>
      <c r="G31" s="40" t="s">
        <v>146</v>
      </c>
    </row>
    <row r="32" customFormat="false" ht="15" hidden="false" customHeight="false" outlineLevel="0" collapsed="false">
      <c r="A32" s="40" t="s">
        <v>75</v>
      </c>
      <c r="B32" s="40" t="s">
        <v>185</v>
      </c>
      <c r="C32" s="41" t="n">
        <v>26</v>
      </c>
      <c r="D32" s="40" t="s">
        <v>154</v>
      </c>
      <c r="E32" s="42" t="n">
        <v>0.4419</v>
      </c>
      <c r="F32" s="41" t="n">
        <v>687</v>
      </c>
      <c r="G32" s="40" t="s">
        <v>146</v>
      </c>
    </row>
    <row r="33" customFormat="false" ht="15" hidden="false" customHeight="false" outlineLevel="0" collapsed="false">
      <c r="A33" s="40" t="s">
        <v>75</v>
      </c>
      <c r="B33" s="40" t="s">
        <v>185</v>
      </c>
      <c r="C33" s="41" t="n">
        <v>27</v>
      </c>
      <c r="D33" s="40" t="s">
        <v>169</v>
      </c>
      <c r="E33" s="42" t="n">
        <v>0.4225</v>
      </c>
      <c r="F33" s="41" t="n">
        <v>821</v>
      </c>
      <c r="G33" s="40" t="s">
        <v>142</v>
      </c>
    </row>
    <row r="34" customFormat="false" ht="15" hidden="false" customHeight="false" outlineLevel="0" collapsed="false">
      <c r="A34" s="40" t="s">
        <v>75</v>
      </c>
      <c r="B34" s="40" t="s">
        <v>185</v>
      </c>
      <c r="C34" s="41" t="n">
        <v>28</v>
      </c>
      <c r="D34" s="40" t="s">
        <v>168</v>
      </c>
      <c r="E34" s="42" t="n">
        <v>0.3646</v>
      </c>
      <c r="F34" s="41" t="n">
        <v>969</v>
      </c>
      <c r="G34" s="4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10" min="2" style="0" width="20"/>
  </cols>
  <sheetData>
    <row r="1" customFormat="false" ht="17.3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2" t="s">
        <v>187</v>
      </c>
    </row>
    <row r="4" customFormat="false" ht="15" hidden="false" customHeight="false" outlineLevel="0" collapsed="false">
      <c r="A4" s="6" t="s">
        <v>83</v>
      </c>
      <c r="B4" s="6" t="s">
        <v>188</v>
      </c>
      <c r="C4" s="6" t="s">
        <v>189</v>
      </c>
      <c r="D4" s="6" t="s">
        <v>190</v>
      </c>
      <c r="E4" s="6" t="s">
        <v>191</v>
      </c>
      <c r="F4" s="6" t="s">
        <v>192</v>
      </c>
      <c r="G4" s="6" t="s">
        <v>193</v>
      </c>
      <c r="H4" s="6" t="s">
        <v>194</v>
      </c>
      <c r="I4" s="6" t="s">
        <v>195</v>
      </c>
      <c r="J4" s="6" t="s">
        <v>196</v>
      </c>
    </row>
    <row r="5" customFormat="false" ht="15" hidden="false" customHeight="false" outlineLevel="0" collapsed="false">
      <c r="A5" s="8" t="s">
        <v>72</v>
      </c>
      <c r="B5" s="9" t="n">
        <v>0.221348695031692</v>
      </c>
      <c r="C5" s="9" t="n">
        <v>0.257643603239987</v>
      </c>
      <c r="D5" s="9" t="n">
        <v>0.204734256287653</v>
      </c>
      <c r="E5" s="9" t="n">
        <v>0.295985466727599</v>
      </c>
      <c r="F5" s="9" t="n">
        <v>0.230432402846196</v>
      </c>
      <c r="G5" s="9" t="n">
        <v>0.238119517034478</v>
      </c>
      <c r="H5" s="9" t="n">
        <v>0.567455555555556</v>
      </c>
      <c r="I5" s="9" t="n">
        <v>0.55119</v>
      </c>
      <c r="J5" s="9" t="n">
        <v>0.5061</v>
      </c>
    </row>
    <row r="6" customFormat="false" ht="15" hidden="false" customHeight="false" outlineLevel="0" collapsed="false">
      <c r="A6" s="14" t="s">
        <v>74</v>
      </c>
      <c r="B6" s="15" t="n">
        <v>0.17156512299513</v>
      </c>
      <c r="C6" s="15" t="n">
        <v>0.382692805276863</v>
      </c>
      <c r="D6" s="15" t="n">
        <v>0.155994993837416</v>
      </c>
      <c r="E6" s="15" t="n">
        <v>0.427961571641753</v>
      </c>
      <c r="F6" s="15" t="n">
        <v>0.169129720853859</v>
      </c>
      <c r="G6" s="15" t="n">
        <v>0.389584951262931</v>
      </c>
      <c r="H6" s="15" t="n">
        <v>0.539366666666667</v>
      </c>
      <c r="I6" s="15" t="n">
        <v>0.51461</v>
      </c>
      <c r="J6" s="15" t="n">
        <v>0.482455555555555</v>
      </c>
    </row>
    <row r="7" customFormat="false" ht="15" hidden="false" customHeight="false" outlineLevel="0" collapsed="false">
      <c r="A7" s="19" t="s">
        <v>75</v>
      </c>
      <c r="B7" s="20" t="n">
        <v>0.185568665874037</v>
      </c>
      <c r="C7" s="20" t="n">
        <v>0.344447086656972</v>
      </c>
      <c r="D7" s="20" t="n">
        <v>0.168917945433362</v>
      </c>
      <c r="E7" s="20" t="n">
        <v>0.390187608810807</v>
      </c>
      <c r="F7" s="20" t="n">
        <v>0.233169129720854</v>
      </c>
      <c r="G7" s="20" t="n">
        <v>0.232435488586743</v>
      </c>
      <c r="H7" s="20" t="n">
        <v>0.640755555555556</v>
      </c>
      <c r="I7" s="20" t="n">
        <v>0.65259</v>
      </c>
      <c r="J7" s="20" t="n">
        <v>0.591522222222222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1"/>
    <col collapsed="false" customWidth="true" hidden="false" outlineLevel="0" max="3" min="3" style="0" width="29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8" min="7" style="0" width="23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15" hidden="false" customHeight="false" outlineLevel="0" collapsed="false">
      <c r="A4" s="43" t="s">
        <v>199</v>
      </c>
    </row>
    <row r="5" customFormat="false" ht="15" hidden="false" customHeight="false" outlineLevel="0" collapsed="false">
      <c r="A5" s="6" t="s">
        <v>83</v>
      </c>
      <c r="B5" s="6" t="s">
        <v>200</v>
      </c>
      <c r="C5" s="6" t="s">
        <v>201</v>
      </c>
      <c r="D5" s="6" t="s">
        <v>202</v>
      </c>
      <c r="E5" s="6" t="s">
        <v>203</v>
      </c>
      <c r="F5" s="6" t="s">
        <v>204</v>
      </c>
      <c r="G5" s="6" t="s">
        <v>205</v>
      </c>
      <c r="H5" s="6" t="s">
        <v>206</v>
      </c>
    </row>
    <row r="6" customFormat="false" ht="15" hidden="false" customHeight="false" outlineLevel="0" collapsed="false">
      <c r="A6" s="8" t="s">
        <v>72</v>
      </c>
      <c r="B6" s="9" t="n">
        <v>0.921235718665108</v>
      </c>
      <c r="C6" s="9" t="n">
        <v>0.917735580266144</v>
      </c>
      <c r="D6" s="9" t="n">
        <v>0.843855595470553</v>
      </c>
      <c r="E6" s="9" t="n">
        <v>2466</v>
      </c>
      <c r="F6" s="9" t="n">
        <v>4698</v>
      </c>
      <c r="G6" s="9" t="n">
        <v>1.90711175616836</v>
      </c>
      <c r="H6" s="9" t="n">
        <v>2.30430575713595</v>
      </c>
    </row>
    <row r="7" customFormat="false" ht="15" hidden="false" customHeight="false" outlineLevel="0" collapsed="false">
      <c r="A7" s="14" t="s">
        <v>74</v>
      </c>
      <c r="B7" s="15" t="n">
        <v>0.939764523493392</v>
      </c>
      <c r="C7" s="15" t="n">
        <v>0.931046125059604</v>
      </c>
      <c r="D7" s="15" t="n">
        <v>0.887234410571687</v>
      </c>
      <c r="E7" s="15" t="n">
        <v>2466</v>
      </c>
      <c r="F7" s="15" t="n">
        <v>1658</v>
      </c>
      <c r="G7" s="15" t="n">
        <v>1.90711175616836</v>
      </c>
      <c r="H7" s="15" t="n">
        <v>1.57668118045477</v>
      </c>
    </row>
    <row r="8" customFormat="false" ht="15" hidden="false" customHeight="false" outlineLevel="0" collapsed="false">
      <c r="A8" s="19" t="s">
        <v>75</v>
      </c>
      <c r="B8" s="20" t="n">
        <v>0.972363940016058</v>
      </c>
      <c r="C8" s="20" t="n">
        <v>0.961652717962691</v>
      </c>
      <c r="D8" s="20" t="n">
        <v>0.914504585781085</v>
      </c>
      <c r="E8" s="20" t="n">
        <v>2466</v>
      </c>
      <c r="F8" s="20" t="n">
        <v>2314</v>
      </c>
      <c r="G8" s="20" t="n">
        <v>1.90711175616836</v>
      </c>
      <c r="H8" s="20" t="n">
        <v>1.8263183357523</v>
      </c>
    </row>
    <row r="11" customFormat="false" ht="15" hidden="false" customHeight="false" outlineLevel="0" collapsed="false">
      <c r="A11" s="43" t="s">
        <v>207</v>
      </c>
    </row>
    <row r="12" customFormat="false" ht="15" hidden="false" customHeight="false" outlineLevel="0" collapsed="false">
      <c r="A12" s="6" t="s">
        <v>83</v>
      </c>
      <c r="B12" s="6" t="s">
        <v>208</v>
      </c>
      <c r="C12" s="6" t="s">
        <v>209</v>
      </c>
      <c r="D12" s="6" t="s">
        <v>210</v>
      </c>
      <c r="E12" s="6" t="s">
        <v>211</v>
      </c>
      <c r="F12" s="6" t="s">
        <v>212</v>
      </c>
      <c r="G12" s="6" t="s">
        <v>213</v>
      </c>
    </row>
    <row r="13" customFormat="false" ht="15" hidden="false" customHeight="false" outlineLevel="0" collapsed="false">
      <c r="A13" s="8" t="s">
        <v>72</v>
      </c>
      <c r="B13" s="8" t="s">
        <v>214</v>
      </c>
      <c r="C13" s="11" t="n">
        <v>904</v>
      </c>
      <c r="D13" s="11" t="n">
        <v>127</v>
      </c>
      <c r="E13" s="9" t="n">
        <v>121</v>
      </c>
      <c r="F13" s="33" t="n">
        <v>0.953</v>
      </c>
      <c r="G13" s="9" t="n">
        <v>0.394</v>
      </c>
    </row>
    <row r="14" customFormat="false" ht="15" hidden="false" customHeight="false" outlineLevel="0" collapsed="false">
      <c r="A14" s="14" t="s">
        <v>72</v>
      </c>
      <c r="B14" s="14" t="s">
        <v>215</v>
      </c>
      <c r="C14" s="17" t="n">
        <v>699</v>
      </c>
      <c r="D14" s="17" t="n">
        <v>84</v>
      </c>
      <c r="E14" s="15" t="n">
        <v>167</v>
      </c>
      <c r="F14" s="35" t="n">
        <v>1.988</v>
      </c>
      <c r="G14" s="15" t="n">
        <v>0.488</v>
      </c>
    </row>
    <row r="15" customFormat="false" ht="15" hidden="false" customHeight="false" outlineLevel="0" collapsed="false">
      <c r="A15" s="8" t="s">
        <v>72</v>
      </c>
      <c r="B15" s="8" t="s">
        <v>216</v>
      </c>
      <c r="C15" s="11" t="n">
        <v>620</v>
      </c>
      <c r="D15" s="11" t="n">
        <v>71</v>
      </c>
      <c r="E15" s="9" t="n">
        <v>110</v>
      </c>
      <c r="F15" s="33" t="n">
        <v>1.549</v>
      </c>
      <c r="G15" s="9" t="n">
        <v>0.718</v>
      </c>
    </row>
    <row r="16" customFormat="false" ht="15" hidden="false" customHeight="false" outlineLevel="0" collapsed="false">
      <c r="A16" s="14" t="s">
        <v>72</v>
      </c>
      <c r="B16" s="14" t="s">
        <v>217</v>
      </c>
      <c r="C16" s="17" t="n">
        <v>568</v>
      </c>
      <c r="D16" s="17" t="n">
        <v>70</v>
      </c>
      <c r="E16" s="15" t="n">
        <v>110</v>
      </c>
      <c r="F16" s="35" t="n">
        <v>1.571</v>
      </c>
      <c r="G16" s="15" t="n">
        <v>0.557</v>
      </c>
    </row>
    <row r="17" customFormat="false" ht="15" hidden="false" customHeight="false" outlineLevel="0" collapsed="false">
      <c r="A17" s="8" t="s">
        <v>72</v>
      </c>
      <c r="B17" s="8" t="s">
        <v>218</v>
      </c>
      <c r="C17" s="11" t="n">
        <v>469</v>
      </c>
      <c r="D17" s="11" t="n">
        <v>59</v>
      </c>
      <c r="E17" s="9" t="n">
        <v>104</v>
      </c>
      <c r="F17" s="33" t="n">
        <v>1.763</v>
      </c>
      <c r="G17" s="9" t="n">
        <v>0.305</v>
      </c>
    </row>
    <row r="18" customFormat="false" ht="15" hidden="false" customHeight="false" outlineLevel="0" collapsed="false">
      <c r="A18" s="14" t="s">
        <v>72</v>
      </c>
      <c r="B18" s="14" t="s">
        <v>219</v>
      </c>
      <c r="C18" s="17" t="n">
        <v>395</v>
      </c>
      <c r="D18" s="17" t="n">
        <v>42</v>
      </c>
      <c r="E18" s="15" t="n">
        <v>60</v>
      </c>
      <c r="F18" s="35" t="n">
        <v>1.429</v>
      </c>
      <c r="G18" s="15" t="n">
        <v>0.571</v>
      </c>
    </row>
    <row r="19" customFormat="false" ht="15" hidden="false" customHeight="false" outlineLevel="0" collapsed="false">
      <c r="A19" s="8" t="s">
        <v>72</v>
      </c>
      <c r="B19" s="8" t="s">
        <v>220</v>
      </c>
      <c r="C19" s="11" t="n">
        <v>379</v>
      </c>
      <c r="D19" s="11" t="n">
        <v>42</v>
      </c>
      <c r="E19" s="9" t="n">
        <v>102</v>
      </c>
      <c r="F19" s="33" t="n">
        <v>2.429</v>
      </c>
      <c r="G19" s="9" t="n">
        <v>0.524</v>
      </c>
    </row>
    <row r="20" customFormat="false" ht="15" hidden="false" customHeight="false" outlineLevel="0" collapsed="false">
      <c r="A20" s="14" t="s">
        <v>72</v>
      </c>
      <c r="B20" s="14" t="s">
        <v>221</v>
      </c>
      <c r="C20" s="17" t="n">
        <v>366</v>
      </c>
      <c r="D20" s="17" t="n">
        <v>37</v>
      </c>
      <c r="E20" s="15" t="n">
        <v>58</v>
      </c>
      <c r="F20" s="35" t="n">
        <v>1.568</v>
      </c>
      <c r="G20" s="15" t="n">
        <v>0.811</v>
      </c>
    </row>
    <row r="21" customFormat="false" ht="15" hidden="false" customHeight="false" outlineLevel="0" collapsed="false">
      <c r="A21" s="8" t="s">
        <v>72</v>
      </c>
      <c r="B21" s="8" t="s">
        <v>222</v>
      </c>
      <c r="C21" s="11" t="n">
        <v>359</v>
      </c>
      <c r="D21" s="11" t="n">
        <v>46</v>
      </c>
      <c r="E21" s="9" t="n">
        <v>62</v>
      </c>
      <c r="F21" s="33" t="n">
        <v>1.348</v>
      </c>
      <c r="G21" s="9" t="n">
        <v>0.457</v>
      </c>
    </row>
    <row r="22" customFormat="false" ht="15" hidden="false" customHeight="false" outlineLevel="0" collapsed="false">
      <c r="A22" s="14" t="s">
        <v>72</v>
      </c>
      <c r="B22" s="14" t="s">
        <v>223</v>
      </c>
      <c r="C22" s="17" t="n">
        <v>336</v>
      </c>
      <c r="D22" s="17" t="n">
        <v>39</v>
      </c>
      <c r="E22" s="15" t="n">
        <v>62</v>
      </c>
      <c r="F22" s="35" t="n">
        <v>1.59</v>
      </c>
      <c r="G22" s="15" t="n">
        <v>0.154</v>
      </c>
    </row>
    <row r="23" customFormat="false" ht="15" hidden="false" customHeight="false" outlineLevel="0" collapsed="false">
      <c r="A23" s="8" t="s">
        <v>72</v>
      </c>
      <c r="B23" s="8" t="s">
        <v>224</v>
      </c>
      <c r="C23" s="11" t="n">
        <v>336</v>
      </c>
      <c r="D23" s="11" t="n">
        <v>40</v>
      </c>
      <c r="E23" s="9" t="n">
        <v>72</v>
      </c>
      <c r="F23" s="33" t="n">
        <v>1.8</v>
      </c>
      <c r="G23" s="9" t="n">
        <v>0.25</v>
      </c>
    </row>
    <row r="24" customFormat="false" ht="15" hidden="false" customHeight="false" outlineLevel="0" collapsed="false">
      <c r="A24" s="14" t="s">
        <v>72</v>
      </c>
      <c r="B24" s="14" t="s">
        <v>225</v>
      </c>
      <c r="C24" s="17" t="n">
        <v>322</v>
      </c>
      <c r="D24" s="17" t="n">
        <v>43</v>
      </c>
      <c r="E24" s="15" t="n">
        <v>51</v>
      </c>
      <c r="F24" s="35" t="n">
        <v>1.186</v>
      </c>
      <c r="G24" s="15" t="n">
        <v>0.512</v>
      </c>
    </row>
    <row r="25" customFormat="false" ht="15" hidden="false" customHeight="false" outlineLevel="0" collapsed="false">
      <c r="A25" s="8" t="s">
        <v>72</v>
      </c>
      <c r="B25" s="8" t="s">
        <v>226</v>
      </c>
      <c r="C25" s="11" t="n">
        <v>316</v>
      </c>
      <c r="D25" s="11" t="n">
        <v>42</v>
      </c>
      <c r="E25" s="9" t="n">
        <v>100</v>
      </c>
      <c r="F25" s="33" t="n">
        <v>2.381</v>
      </c>
      <c r="G25" s="9" t="n">
        <v>0.238</v>
      </c>
    </row>
    <row r="26" customFormat="false" ht="15" hidden="false" customHeight="false" outlineLevel="0" collapsed="false">
      <c r="A26" s="14" t="s">
        <v>72</v>
      </c>
      <c r="B26" s="14" t="s">
        <v>227</v>
      </c>
      <c r="C26" s="17" t="n">
        <v>306</v>
      </c>
      <c r="D26" s="17" t="n">
        <v>47</v>
      </c>
      <c r="E26" s="15" t="n">
        <v>56</v>
      </c>
      <c r="F26" s="35" t="n">
        <v>1.191</v>
      </c>
      <c r="G26" s="15" t="n">
        <v>0.574</v>
      </c>
    </row>
    <row r="27" customFormat="false" ht="15" hidden="false" customHeight="false" outlineLevel="0" collapsed="false">
      <c r="A27" s="8" t="s">
        <v>72</v>
      </c>
      <c r="B27" s="8" t="s">
        <v>228</v>
      </c>
      <c r="C27" s="11" t="n">
        <v>290</v>
      </c>
      <c r="D27" s="11" t="n">
        <v>50</v>
      </c>
      <c r="E27" s="9" t="n">
        <v>52</v>
      </c>
      <c r="F27" s="33" t="n">
        <v>1.04</v>
      </c>
      <c r="G27" s="9" t="n">
        <v>0.36</v>
      </c>
    </row>
    <row r="28" customFormat="false" ht="15" hidden="false" customHeight="false" outlineLevel="0" collapsed="false">
      <c r="A28" s="14" t="s">
        <v>74</v>
      </c>
      <c r="B28" s="14" t="s">
        <v>214</v>
      </c>
      <c r="C28" s="17" t="n">
        <v>904</v>
      </c>
      <c r="D28" s="17" t="n">
        <v>127</v>
      </c>
      <c r="E28" s="15" t="n">
        <v>89</v>
      </c>
      <c r="F28" s="35" t="n">
        <v>0.701</v>
      </c>
      <c r="G28" s="15" t="n">
        <v>0.291</v>
      </c>
    </row>
    <row r="29" customFormat="false" ht="15" hidden="false" customHeight="false" outlineLevel="0" collapsed="false">
      <c r="A29" s="8" t="s">
        <v>74</v>
      </c>
      <c r="B29" s="8" t="s">
        <v>215</v>
      </c>
      <c r="C29" s="11" t="n">
        <v>699</v>
      </c>
      <c r="D29" s="11" t="n">
        <v>84</v>
      </c>
      <c r="E29" s="9" t="n">
        <v>77</v>
      </c>
      <c r="F29" s="33" t="n">
        <v>0.917</v>
      </c>
      <c r="G29" s="9" t="n">
        <v>0.262</v>
      </c>
    </row>
    <row r="30" customFormat="false" ht="15" hidden="false" customHeight="false" outlineLevel="0" collapsed="false">
      <c r="A30" s="14" t="s">
        <v>74</v>
      </c>
      <c r="B30" s="14" t="s">
        <v>216</v>
      </c>
      <c r="C30" s="17" t="n">
        <v>620</v>
      </c>
      <c r="D30" s="17" t="n">
        <v>71</v>
      </c>
      <c r="E30" s="15" t="n">
        <v>65</v>
      </c>
      <c r="F30" s="35" t="n">
        <v>0.915</v>
      </c>
      <c r="G30" s="15" t="n">
        <v>0.563</v>
      </c>
    </row>
    <row r="31" customFormat="false" ht="15" hidden="false" customHeight="false" outlineLevel="0" collapsed="false">
      <c r="A31" s="8" t="s">
        <v>74</v>
      </c>
      <c r="B31" s="8" t="s">
        <v>217</v>
      </c>
      <c r="C31" s="11" t="n">
        <v>568</v>
      </c>
      <c r="D31" s="11" t="n">
        <v>70</v>
      </c>
      <c r="E31" s="9" t="n">
        <v>63</v>
      </c>
      <c r="F31" s="33" t="n">
        <v>0.9</v>
      </c>
      <c r="G31" s="9" t="n">
        <v>0.286</v>
      </c>
    </row>
    <row r="32" customFormat="false" ht="15" hidden="false" customHeight="false" outlineLevel="0" collapsed="false">
      <c r="A32" s="14" t="s">
        <v>74</v>
      </c>
      <c r="B32" s="14" t="s">
        <v>218</v>
      </c>
      <c r="C32" s="17" t="n">
        <v>469</v>
      </c>
      <c r="D32" s="17" t="n">
        <v>59</v>
      </c>
      <c r="E32" s="15" t="n">
        <v>27</v>
      </c>
      <c r="F32" s="35" t="n">
        <v>0.458</v>
      </c>
      <c r="G32" s="15" t="n">
        <v>0.119</v>
      </c>
    </row>
    <row r="33" customFormat="false" ht="15" hidden="false" customHeight="false" outlineLevel="0" collapsed="false">
      <c r="A33" s="8" t="s">
        <v>74</v>
      </c>
      <c r="B33" s="8" t="s">
        <v>219</v>
      </c>
      <c r="C33" s="11" t="n">
        <v>395</v>
      </c>
      <c r="D33" s="11" t="n">
        <v>42</v>
      </c>
      <c r="E33" s="9" t="n">
        <v>49</v>
      </c>
      <c r="F33" s="33" t="n">
        <v>1.167</v>
      </c>
      <c r="G33" s="9" t="n">
        <v>0.548</v>
      </c>
    </row>
    <row r="34" customFormat="false" ht="15" hidden="false" customHeight="false" outlineLevel="0" collapsed="false">
      <c r="A34" s="14" t="s">
        <v>74</v>
      </c>
      <c r="B34" s="14" t="s">
        <v>220</v>
      </c>
      <c r="C34" s="17" t="n">
        <v>379</v>
      </c>
      <c r="D34" s="17" t="n">
        <v>42</v>
      </c>
      <c r="E34" s="15" t="n">
        <v>55</v>
      </c>
      <c r="F34" s="35" t="n">
        <v>1.31</v>
      </c>
      <c r="G34" s="15" t="n">
        <v>0.262</v>
      </c>
    </row>
    <row r="35" customFormat="false" ht="15" hidden="false" customHeight="false" outlineLevel="0" collapsed="false">
      <c r="A35" s="8" t="s">
        <v>74</v>
      </c>
      <c r="B35" s="8" t="s">
        <v>221</v>
      </c>
      <c r="C35" s="11" t="n">
        <v>366</v>
      </c>
      <c r="D35" s="11" t="n">
        <v>37</v>
      </c>
      <c r="E35" s="9" t="n">
        <v>39</v>
      </c>
      <c r="F35" s="33" t="n">
        <v>1.054</v>
      </c>
      <c r="G35" s="9" t="n">
        <v>0.73</v>
      </c>
    </row>
    <row r="36" customFormat="false" ht="15" hidden="false" customHeight="false" outlineLevel="0" collapsed="false">
      <c r="A36" s="14" t="s">
        <v>74</v>
      </c>
      <c r="B36" s="14" t="s">
        <v>222</v>
      </c>
      <c r="C36" s="17" t="n">
        <v>359</v>
      </c>
      <c r="D36" s="17" t="n">
        <v>46</v>
      </c>
      <c r="E36" s="15" t="n">
        <v>19</v>
      </c>
      <c r="F36" s="35" t="n">
        <v>0.413</v>
      </c>
      <c r="G36" s="15" t="n">
        <v>0.174</v>
      </c>
    </row>
    <row r="37" customFormat="false" ht="15" hidden="false" customHeight="false" outlineLevel="0" collapsed="false">
      <c r="A37" s="8" t="s">
        <v>74</v>
      </c>
      <c r="B37" s="8" t="s">
        <v>223</v>
      </c>
      <c r="C37" s="11" t="n">
        <v>336</v>
      </c>
      <c r="D37" s="11" t="n">
        <v>39</v>
      </c>
      <c r="E37" s="9" t="n">
        <v>25</v>
      </c>
      <c r="F37" s="33" t="n">
        <v>0.641</v>
      </c>
      <c r="G37" s="9" t="n">
        <v>0.103</v>
      </c>
    </row>
    <row r="38" customFormat="false" ht="15" hidden="false" customHeight="false" outlineLevel="0" collapsed="false">
      <c r="A38" s="14" t="s">
        <v>74</v>
      </c>
      <c r="B38" s="14" t="s">
        <v>224</v>
      </c>
      <c r="C38" s="17" t="n">
        <v>336</v>
      </c>
      <c r="D38" s="17" t="n">
        <v>40</v>
      </c>
      <c r="E38" s="15" t="n">
        <v>30</v>
      </c>
      <c r="F38" s="35" t="n">
        <v>0.75</v>
      </c>
      <c r="G38" s="15" t="n">
        <v>0.125</v>
      </c>
    </row>
    <row r="39" customFormat="false" ht="15" hidden="false" customHeight="false" outlineLevel="0" collapsed="false">
      <c r="A39" s="8" t="s">
        <v>74</v>
      </c>
      <c r="B39" s="8" t="s">
        <v>225</v>
      </c>
      <c r="C39" s="11" t="n">
        <v>322</v>
      </c>
      <c r="D39" s="11" t="n">
        <v>43</v>
      </c>
      <c r="E39" s="9" t="n">
        <v>45</v>
      </c>
      <c r="F39" s="33" t="n">
        <v>1.047</v>
      </c>
      <c r="G39" s="9" t="n">
        <v>0.488</v>
      </c>
    </row>
    <row r="40" customFormat="false" ht="15" hidden="false" customHeight="false" outlineLevel="0" collapsed="false">
      <c r="A40" s="14" t="s">
        <v>74</v>
      </c>
      <c r="B40" s="14" t="s">
        <v>226</v>
      </c>
      <c r="C40" s="17" t="n">
        <v>316</v>
      </c>
      <c r="D40" s="17" t="n">
        <v>42</v>
      </c>
      <c r="E40" s="15" t="n">
        <v>22</v>
      </c>
      <c r="F40" s="35" t="n">
        <v>0.524</v>
      </c>
      <c r="G40" s="15" t="n">
        <v>0.095</v>
      </c>
    </row>
    <row r="41" customFormat="false" ht="15" hidden="false" customHeight="false" outlineLevel="0" collapsed="false">
      <c r="A41" s="8" t="s">
        <v>74</v>
      </c>
      <c r="B41" s="8" t="s">
        <v>227</v>
      </c>
      <c r="C41" s="11" t="n">
        <v>306</v>
      </c>
      <c r="D41" s="11" t="n">
        <v>47</v>
      </c>
      <c r="E41" s="9" t="n">
        <v>35</v>
      </c>
      <c r="F41" s="33" t="n">
        <v>0.745</v>
      </c>
      <c r="G41" s="9" t="n">
        <v>0.34</v>
      </c>
    </row>
    <row r="42" customFormat="false" ht="15" hidden="false" customHeight="false" outlineLevel="0" collapsed="false">
      <c r="A42" s="14" t="s">
        <v>74</v>
      </c>
      <c r="B42" s="14" t="s">
        <v>228</v>
      </c>
      <c r="C42" s="17" t="n">
        <v>290</v>
      </c>
      <c r="D42" s="17" t="n">
        <v>50</v>
      </c>
      <c r="E42" s="15" t="n">
        <v>17</v>
      </c>
      <c r="F42" s="35" t="n">
        <v>0.34</v>
      </c>
      <c r="G42" s="15" t="n">
        <v>0.14</v>
      </c>
    </row>
    <row r="43" customFormat="false" ht="15" hidden="false" customHeight="false" outlineLevel="0" collapsed="false">
      <c r="A43" s="8" t="s">
        <v>75</v>
      </c>
      <c r="B43" s="8" t="s">
        <v>214</v>
      </c>
      <c r="C43" s="11" t="n">
        <v>904</v>
      </c>
      <c r="D43" s="11" t="n">
        <v>127</v>
      </c>
      <c r="E43" s="9" t="n">
        <v>153</v>
      </c>
      <c r="F43" s="33" t="n">
        <v>1.205</v>
      </c>
      <c r="G43" s="9" t="n">
        <v>0.583</v>
      </c>
    </row>
    <row r="44" customFormat="false" ht="15" hidden="false" customHeight="false" outlineLevel="0" collapsed="false">
      <c r="A44" s="14" t="s">
        <v>75</v>
      </c>
      <c r="B44" s="14" t="s">
        <v>215</v>
      </c>
      <c r="C44" s="17" t="n">
        <v>699</v>
      </c>
      <c r="D44" s="17" t="n">
        <v>84</v>
      </c>
      <c r="E44" s="15" t="n">
        <v>85</v>
      </c>
      <c r="F44" s="35" t="n">
        <v>1.012</v>
      </c>
      <c r="G44" s="15" t="n">
        <v>0.417</v>
      </c>
    </row>
    <row r="45" customFormat="false" ht="15" hidden="false" customHeight="false" outlineLevel="0" collapsed="false">
      <c r="A45" s="8" t="s">
        <v>75</v>
      </c>
      <c r="B45" s="8" t="s">
        <v>216</v>
      </c>
      <c r="C45" s="11" t="n">
        <v>620</v>
      </c>
      <c r="D45" s="11" t="n">
        <v>71</v>
      </c>
      <c r="E45" s="9" t="n">
        <v>91</v>
      </c>
      <c r="F45" s="33" t="n">
        <v>1.282</v>
      </c>
      <c r="G45" s="9" t="n">
        <v>0.761</v>
      </c>
    </row>
    <row r="46" customFormat="false" ht="15" hidden="false" customHeight="false" outlineLevel="0" collapsed="false">
      <c r="A46" s="14" t="s">
        <v>75</v>
      </c>
      <c r="B46" s="14" t="s">
        <v>217</v>
      </c>
      <c r="C46" s="17" t="n">
        <v>568</v>
      </c>
      <c r="D46" s="17" t="n">
        <v>70</v>
      </c>
      <c r="E46" s="15" t="n">
        <v>80</v>
      </c>
      <c r="F46" s="35" t="n">
        <v>1.143</v>
      </c>
      <c r="G46" s="15" t="n">
        <v>0.4</v>
      </c>
    </row>
    <row r="47" customFormat="false" ht="15" hidden="false" customHeight="false" outlineLevel="0" collapsed="false">
      <c r="A47" s="8" t="s">
        <v>75</v>
      </c>
      <c r="B47" s="8" t="s">
        <v>218</v>
      </c>
      <c r="C47" s="11" t="n">
        <v>469</v>
      </c>
      <c r="D47" s="11" t="n">
        <v>59</v>
      </c>
      <c r="E47" s="9" t="n">
        <v>53</v>
      </c>
      <c r="F47" s="33" t="n">
        <v>0.898</v>
      </c>
      <c r="G47" s="9" t="n">
        <v>0.305</v>
      </c>
    </row>
    <row r="48" customFormat="false" ht="15" hidden="false" customHeight="false" outlineLevel="0" collapsed="false">
      <c r="A48" s="14" t="s">
        <v>75</v>
      </c>
      <c r="B48" s="14" t="s">
        <v>219</v>
      </c>
      <c r="C48" s="17" t="n">
        <v>395</v>
      </c>
      <c r="D48" s="17" t="n">
        <v>42</v>
      </c>
      <c r="E48" s="15" t="n">
        <v>67</v>
      </c>
      <c r="F48" s="35" t="n">
        <v>1.595</v>
      </c>
      <c r="G48" s="15" t="n">
        <v>0.69</v>
      </c>
    </row>
    <row r="49" customFormat="false" ht="15" hidden="false" customHeight="false" outlineLevel="0" collapsed="false">
      <c r="A49" s="8" t="s">
        <v>75</v>
      </c>
      <c r="B49" s="8" t="s">
        <v>220</v>
      </c>
      <c r="C49" s="11" t="n">
        <v>379</v>
      </c>
      <c r="D49" s="11" t="n">
        <v>42</v>
      </c>
      <c r="E49" s="9" t="n">
        <v>55</v>
      </c>
      <c r="F49" s="33" t="n">
        <v>1.31</v>
      </c>
      <c r="G49" s="9" t="n">
        <v>0.476</v>
      </c>
    </row>
    <row r="50" customFormat="false" ht="15" hidden="false" customHeight="false" outlineLevel="0" collapsed="false">
      <c r="A50" s="14" t="s">
        <v>75</v>
      </c>
      <c r="B50" s="14" t="s">
        <v>221</v>
      </c>
      <c r="C50" s="17" t="n">
        <v>366</v>
      </c>
      <c r="D50" s="17" t="n">
        <v>37</v>
      </c>
      <c r="E50" s="15" t="n">
        <v>49</v>
      </c>
      <c r="F50" s="35" t="n">
        <v>1.324</v>
      </c>
      <c r="G50" s="15" t="n">
        <v>0.865</v>
      </c>
    </row>
    <row r="51" customFormat="false" ht="15" hidden="false" customHeight="false" outlineLevel="0" collapsed="false">
      <c r="A51" s="8" t="s">
        <v>75</v>
      </c>
      <c r="B51" s="8" t="s">
        <v>222</v>
      </c>
      <c r="C51" s="11" t="n">
        <v>359</v>
      </c>
      <c r="D51" s="11" t="n">
        <v>46</v>
      </c>
      <c r="E51" s="9" t="n">
        <v>46</v>
      </c>
      <c r="F51" s="33" t="n">
        <v>1</v>
      </c>
      <c r="G51" s="9" t="n">
        <v>0.457</v>
      </c>
    </row>
    <row r="52" customFormat="false" ht="15" hidden="false" customHeight="false" outlineLevel="0" collapsed="false">
      <c r="A52" s="14" t="s">
        <v>75</v>
      </c>
      <c r="B52" s="14" t="s">
        <v>223</v>
      </c>
      <c r="C52" s="17" t="n">
        <v>336</v>
      </c>
      <c r="D52" s="17" t="n">
        <v>39</v>
      </c>
      <c r="E52" s="15" t="n">
        <v>32</v>
      </c>
      <c r="F52" s="35" t="n">
        <v>0.821</v>
      </c>
      <c r="G52" s="15" t="n">
        <v>0.179</v>
      </c>
    </row>
    <row r="53" customFormat="false" ht="15" hidden="false" customHeight="false" outlineLevel="0" collapsed="false">
      <c r="A53" s="8" t="s">
        <v>75</v>
      </c>
      <c r="B53" s="8" t="s">
        <v>224</v>
      </c>
      <c r="C53" s="11" t="n">
        <v>336</v>
      </c>
      <c r="D53" s="11" t="n">
        <v>40</v>
      </c>
      <c r="E53" s="9" t="n">
        <v>30</v>
      </c>
      <c r="F53" s="33" t="n">
        <v>0.75</v>
      </c>
      <c r="G53" s="9" t="n">
        <v>0.35</v>
      </c>
    </row>
    <row r="54" customFormat="false" ht="15" hidden="false" customHeight="false" outlineLevel="0" collapsed="false">
      <c r="A54" s="14" t="s">
        <v>75</v>
      </c>
      <c r="B54" s="14" t="s">
        <v>225</v>
      </c>
      <c r="C54" s="17" t="n">
        <v>322</v>
      </c>
      <c r="D54" s="17" t="n">
        <v>43</v>
      </c>
      <c r="E54" s="15" t="n">
        <v>49</v>
      </c>
      <c r="F54" s="35" t="n">
        <v>1.14</v>
      </c>
      <c r="G54" s="15" t="n">
        <v>0.581</v>
      </c>
    </row>
    <row r="55" customFormat="false" ht="15" hidden="false" customHeight="false" outlineLevel="0" collapsed="false">
      <c r="A55" s="8" t="s">
        <v>75</v>
      </c>
      <c r="B55" s="8" t="s">
        <v>226</v>
      </c>
      <c r="C55" s="11" t="n">
        <v>316</v>
      </c>
      <c r="D55" s="11" t="n">
        <v>42</v>
      </c>
      <c r="E55" s="9" t="n">
        <v>35</v>
      </c>
      <c r="F55" s="33" t="n">
        <v>0.833</v>
      </c>
      <c r="G55" s="9" t="n">
        <v>0.238</v>
      </c>
    </row>
    <row r="56" customFormat="false" ht="15" hidden="false" customHeight="false" outlineLevel="0" collapsed="false">
      <c r="A56" s="14" t="s">
        <v>75</v>
      </c>
      <c r="B56" s="14" t="s">
        <v>227</v>
      </c>
      <c r="C56" s="17" t="n">
        <v>306</v>
      </c>
      <c r="D56" s="17" t="n">
        <v>47</v>
      </c>
      <c r="E56" s="15" t="n">
        <v>51</v>
      </c>
      <c r="F56" s="35" t="n">
        <v>1.085</v>
      </c>
      <c r="G56" s="15" t="n">
        <v>0.511</v>
      </c>
    </row>
    <row r="57" customFormat="false" ht="15" hidden="false" customHeight="false" outlineLevel="0" collapsed="false">
      <c r="A57" s="8" t="s">
        <v>75</v>
      </c>
      <c r="B57" s="8" t="s">
        <v>228</v>
      </c>
      <c r="C57" s="11" t="n">
        <v>290</v>
      </c>
      <c r="D57" s="11" t="n">
        <v>50</v>
      </c>
      <c r="E57" s="9" t="n">
        <v>43</v>
      </c>
      <c r="F57" s="33" t="n">
        <v>0.86</v>
      </c>
      <c r="G57" s="9" t="n">
        <v>0.42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9" min="4" style="0" width="20"/>
    <col collapsed="false" customWidth="true" hidden="false" outlineLevel="0" max="10" min="10" style="0" width="21"/>
    <col collapsed="false" customWidth="true" hidden="false" outlineLevel="0" max="12" min="11" style="0" width="22"/>
  </cols>
  <sheetData>
    <row r="1" customFormat="false" ht="17.3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2" t="s">
        <v>230</v>
      </c>
    </row>
    <row r="4" customFormat="false" ht="15" hidden="false" customHeight="false" outlineLevel="0" collapsed="false">
      <c r="A4" s="6" t="s">
        <v>231</v>
      </c>
      <c r="B4" s="6" t="s">
        <v>232</v>
      </c>
      <c r="C4" s="6" t="s">
        <v>233</v>
      </c>
      <c r="D4" s="6" t="s">
        <v>234</v>
      </c>
      <c r="E4" s="6" t="s">
        <v>235</v>
      </c>
      <c r="F4" s="6" t="s">
        <v>236</v>
      </c>
      <c r="G4" s="6" t="s">
        <v>237</v>
      </c>
      <c r="H4" s="6" t="s">
        <v>238</v>
      </c>
      <c r="I4" s="6" t="s">
        <v>239</v>
      </c>
      <c r="J4" s="6" t="s">
        <v>240</v>
      </c>
      <c r="K4" s="30" t="s">
        <v>241</v>
      </c>
      <c r="L4" s="30" t="s">
        <v>242</v>
      </c>
    </row>
    <row r="5" customFormat="false" ht="15" hidden="false" customHeight="false" outlineLevel="0" collapsed="false">
      <c r="A5" s="8" t="s">
        <v>243</v>
      </c>
      <c r="B5" s="8" t="s">
        <v>244</v>
      </c>
      <c r="C5" s="11" t="n">
        <v>2067</v>
      </c>
      <c r="D5" s="9" t="n">
        <v>0.54191802495305</v>
      </c>
      <c r="E5" s="9" t="n">
        <v>0.557610568638713</v>
      </c>
      <c r="F5" s="9" t="n">
        <v>0.512227798918337</v>
      </c>
      <c r="G5" s="9" t="n">
        <v>0.532981530343008</v>
      </c>
      <c r="H5" s="9" t="n">
        <v>0.629157077242284</v>
      </c>
      <c r="I5" s="9" t="n">
        <v>0.646105999740832</v>
      </c>
      <c r="J5" s="8" t="s">
        <v>245</v>
      </c>
      <c r="K5" s="13" t="n">
        <f aca="false">H5-F5</f>
        <v>0.116929278323948</v>
      </c>
      <c r="L5" s="13" t="n">
        <f aca="false">I5-G5</f>
        <v>0.113124469397824</v>
      </c>
    </row>
    <row r="6" customFormat="false" ht="15" hidden="false" customHeight="false" outlineLevel="0" collapsed="false">
      <c r="A6" s="14" t="s">
        <v>246</v>
      </c>
      <c r="B6" s="14" t="s">
        <v>247</v>
      </c>
      <c r="C6" s="17" t="n">
        <v>337</v>
      </c>
      <c r="D6" s="15" t="n">
        <v>0.575324221874879</v>
      </c>
      <c r="E6" s="15" t="n">
        <v>0.615004122011542</v>
      </c>
      <c r="F6" s="15" t="n">
        <v>0.553484174217056</v>
      </c>
      <c r="G6" s="15" t="n">
        <v>0.626626626626627</v>
      </c>
      <c r="H6" s="15" t="n">
        <v>0.657566470937296</v>
      </c>
      <c r="I6" s="15" t="n">
        <v>0.7029053420806</v>
      </c>
      <c r="J6" s="14" t="s">
        <v>248</v>
      </c>
      <c r="K6" s="13" t="n">
        <f aca="false">H6-F6</f>
        <v>0.10408229672024</v>
      </c>
      <c r="L6" s="13" t="n">
        <f aca="false">I6-G6</f>
        <v>0.0762787154539732</v>
      </c>
    </row>
    <row r="7" customFormat="false" ht="15" hidden="false" customHeight="false" outlineLevel="0" collapsed="false">
      <c r="A7" s="24" t="s">
        <v>249</v>
      </c>
      <c r="B7" s="24" t="s">
        <v>250</v>
      </c>
      <c r="C7" s="27" t="n">
        <v>283</v>
      </c>
      <c r="D7" s="25" t="n">
        <v>0.473137555010628</v>
      </c>
      <c r="E7" s="25" t="n">
        <v>0.521856086079354</v>
      </c>
      <c r="F7" s="25" t="n">
        <v>0.413576727191603</v>
      </c>
      <c r="G7" s="25" t="n">
        <v>0.486533449174631</v>
      </c>
      <c r="H7" s="25" t="n">
        <v>0.576838042929563</v>
      </c>
      <c r="I7" s="25" t="n">
        <v>0.621970920840065</v>
      </c>
      <c r="J7" s="24" t="s">
        <v>251</v>
      </c>
      <c r="K7" s="13" t="n">
        <f aca="false">H7-F7</f>
        <v>0.16326131573796</v>
      </c>
      <c r="L7" s="13" t="n">
        <f aca="false">I7-G7</f>
        <v>0.135437471665434</v>
      </c>
    </row>
    <row r="8" customFormat="false" ht="15" hidden="false" customHeight="false" outlineLevel="0" collapsed="false">
      <c r="A8" s="14" t="s">
        <v>252</v>
      </c>
      <c r="B8" s="14" t="s">
        <v>253</v>
      </c>
      <c r="C8" s="17" t="n">
        <v>536</v>
      </c>
      <c r="D8" s="15" t="n">
        <v>0.544143755045899</v>
      </c>
      <c r="E8" s="15" t="n">
        <v>0.610641891891892</v>
      </c>
      <c r="F8" s="15" t="n">
        <v>0.530824431007444</v>
      </c>
      <c r="G8" s="15" t="n">
        <v>0.615229450327786</v>
      </c>
      <c r="H8" s="15" t="n">
        <v>0.589594095523391</v>
      </c>
      <c r="I8" s="15" t="n">
        <v>0.664770033191086</v>
      </c>
      <c r="J8" s="14" t="s">
        <v>254</v>
      </c>
      <c r="K8" s="13" t="n">
        <f aca="false">H8-F8</f>
        <v>0.0587696645159471</v>
      </c>
      <c r="L8" s="13" t="n">
        <f aca="false">I8-G8</f>
        <v>0.0495405828632997</v>
      </c>
    </row>
    <row r="9" customFormat="false" ht="15" hidden="false" customHeight="false" outlineLevel="0" collapsed="false">
      <c r="A9" s="8" t="s">
        <v>255</v>
      </c>
      <c r="B9" s="8" t="s">
        <v>256</v>
      </c>
      <c r="C9" s="11" t="n">
        <v>180</v>
      </c>
      <c r="D9" s="9" t="n">
        <v>0.557021605849257</v>
      </c>
      <c r="E9" s="9" t="n">
        <v>0.646153846153846</v>
      </c>
      <c r="F9" s="9" t="n">
        <v>0.530689920224906</v>
      </c>
      <c r="G9" s="9" t="n">
        <v>0.641562064156206</v>
      </c>
      <c r="H9" s="9" t="n">
        <v>0.618598401022851</v>
      </c>
      <c r="I9" s="9" t="n">
        <v>0.704</v>
      </c>
      <c r="J9" s="8" t="s">
        <v>257</v>
      </c>
      <c r="K9" s="13" t="n">
        <f aca="false">H9-F9</f>
        <v>0.0879084807979454</v>
      </c>
      <c r="L9" s="13" t="n">
        <f aca="false">I9-G9</f>
        <v>0.0624379358437935</v>
      </c>
    </row>
    <row r="10" customFormat="false" ht="15" hidden="false" customHeight="false" outlineLevel="0" collapsed="false">
      <c r="A10" s="24" t="s">
        <v>258</v>
      </c>
      <c r="B10" s="24" t="s">
        <v>259</v>
      </c>
      <c r="C10" s="27" t="n">
        <v>236</v>
      </c>
      <c r="D10" s="25" t="n">
        <v>0.493439324380081</v>
      </c>
      <c r="E10" s="25" t="n">
        <v>0.598130841121495</v>
      </c>
      <c r="F10" s="25" t="n">
        <v>0.418758149633079</v>
      </c>
      <c r="G10" s="25" t="n">
        <v>0.556064073226545</v>
      </c>
      <c r="H10" s="25" t="n">
        <v>0.607597415064087</v>
      </c>
      <c r="I10" s="25" t="n">
        <v>0.695557963163597</v>
      </c>
      <c r="J10" s="24" t="s">
        <v>260</v>
      </c>
      <c r="K10" s="13" t="n">
        <f aca="false">H10-F10</f>
        <v>0.188839265431008</v>
      </c>
      <c r="L10" s="13" t="n">
        <f aca="false">I10-G10</f>
        <v>0.139493889937052</v>
      </c>
    </row>
    <row r="11" customFormat="false" ht="15" hidden="false" customHeight="false" outlineLevel="0" collapsed="false">
      <c r="A11" s="24" t="s">
        <v>261</v>
      </c>
      <c r="B11" s="24" t="s">
        <v>262</v>
      </c>
      <c r="C11" s="27" t="n">
        <v>509</v>
      </c>
      <c r="D11" s="25" t="n">
        <v>0.500900974130162</v>
      </c>
      <c r="E11" s="25" t="n">
        <v>0.530088495575221</v>
      </c>
      <c r="F11" s="25" t="n">
        <v>0.467548224852303</v>
      </c>
      <c r="G11" s="25" t="n">
        <v>0.500552486187845</v>
      </c>
      <c r="H11" s="25" t="n">
        <v>0.595872393498373</v>
      </c>
      <c r="I11" s="25" t="n">
        <v>0.6289500509684</v>
      </c>
      <c r="J11" s="24" t="s">
        <v>263</v>
      </c>
      <c r="K11" s="13" t="n">
        <f aca="false">H11-F11</f>
        <v>0.12832416864607</v>
      </c>
      <c r="L11" s="13" t="n">
        <f aca="false">I11-G11</f>
        <v>0.128397564780554</v>
      </c>
    </row>
    <row r="12" customFormat="false" ht="15" hidden="false" customHeight="false" outlineLevel="0" collapsed="false">
      <c r="A12" s="14" t="s">
        <v>264</v>
      </c>
      <c r="B12" s="14" t="s">
        <v>265</v>
      </c>
      <c r="C12" s="17" t="n">
        <v>793</v>
      </c>
      <c r="D12" s="15" t="n">
        <v>0.525721663914509</v>
      </c>
      <c r="E12" s="15" t="n">
        <v>0.522058823529412</v>
      </c>
      <c r="F12" s="15" t="n">
        <v>0.485689792646295</v>
      </c>
      <c r="G12" s="15" t="n">
        <v>0.480087687248813</v>
      </c>
      <c r="H12" s="15" t="n">
        <v>0.627669714576187</v>
      </c>
      <c r="I12" s="15" t="n">
        <v>0.631041524846835</v>
      </c>
      <c r="J12" s="14" t="s">
        <v>266</v>
      </c>
      <c r="K12" s="13" t="n">
        <f aca="false">H12-F12</f>
        <v>0.141979921929892</v>
      </c>
      <c r="L12" s="13" t="n">
        <f aca="false">I12-G12</f>
        <v>0.150953837598022</v>
      </c>
    </row>
  </sheetData>
  <conditionalFormatting sqref="K5:K12">
    <cfRule type="dataBar" priority="2">
      <dataBar showValue="1" minLength="10" maxLength="90">
        <cfvo type="num" val="0"/>
        <cfvo type="num" val="0.2"/>
        <color rgb="FFE07A1F"/>
      </dataBar>
      <extLst>
        <ext xmlns:x14="http://schemas.microsoft.com/office/spreadsheetml/2009/9/main" uri="{B025F937-C7B1-47D3-B67F-A62EFF666E3E}">
          <x14:id>{388F4CC4-F47F-4142-936A-572F43E8E974}</x14:id>
        </ext>
      </extLst>
    </cfRule>
  </conditionalFormatting>
  <conditionalFormatting sqref="L5:L12">
    <cfRule type="dataBar" priority="3">
      <dataBar showValue="1" minLength="10" maxLength="90">
        <cfvo type="num" val="0"/>
        <cfvo type="num" val="0.2"/>
        <color rgb="FFE07A1F"/>
      </dataBar>
      <extLst>
        <ext xmlns:x14="http://schemas.microsoft.com/office/spreadsheetml/2009/9/main" uri="{B025F937-C7B1-47D3-B67F-A62EFF666E3E}">
          <x14:id>{201EE921-89D1-4B56-9B9A-B7C9F16536C7}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8F4CC4-F47F-4142-936A-572F43E8E974}">
            <x14:dataBar minLength="10" maxLength="90" axisPosition="none" gradient="true">
              <x14:cfvo type="num">
                <xm:f>0</xm:f>
              </x14:cfvo>
              <x14:cfvo type="num">
                <xm:f>0.2</xm:f>
              </x14:cfvo>
              <x14:negativeFillColor rgb="FFE07A1F"/>
              <x14:axisColor rgb="FF000000"/>
            </x14:dataBar>
          </x14:cfRule>
          <xm:sqref>K5:K12</xm:sqref>
        </x14:conditionalFormatting>
        <x14:conditionalFormatting xmlns:xm="http://schemas.microsoft.com/office/excel/2006/main">
          <x14:cfRule type="dataBar" id="{201EE921-89D1-4B56-9B9A-B7C9F16536C7}">
            <x14:dataBar minLength="10" maxLength="90" axisPosition="none" gradient="true">
              <x14:cfvo type="num">
                <xm:f>0</xm:f>
              </x14:cfvo>
              <x14:cfvo type="num">
                <xm:f>0.2</xm:f>
              </x14:cfvo>
              <x14:negativeFillColor rgb="FFE07A1F"/>
              <x14:axisColor rgb="FF000000"/>
            </x14:dataBar>
          </x14:cfRule>
          <xm:sqref>L5:L12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10" min="5" style="0" width="20"/>
    <col collapsed="false" customWidth="true" hidden="false" outlineLevel="0" max="11" min="11" style="0" width="33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4" customFormat="false" ht="15" hidden="false" customHeight="false" outlineLevel="0" collapsed="false">
      <c r="A4" s="43" t="s">
        <v>269</v>
      </c>
    </row>
    <row r="5" customFormat="false" ht="15" hidden="false" customHeight="false" outlineLevel="0" collapsed="false">
      <c r="A5" s="6" t="s">
        <v>83</v>
      </c>
      <c r="B5" s="6" t="s">
        <v>270</v>
      </c>
      <c r="C5" s="6" t="s">
        <v>271</v>
      </c>
      <c r="D5" s="6" t="s">
        <v>272</v>
      </c>
      <c r="E5" s="6" t="s">
        <v>273</v>
      </c>
      <c r="F5" s="6" t="s">
        <v>274</v>
      </c>
      <c r="G5" s="6" t="s">
        <v>275</v>
      </c>
      <c r="H5" s="6" t="s">
        <v>276</v>
      </c>
      <c r="I5" s="6" t="s">
        <v>277</v>
      </c>
      <c r="J5" s="6" t="s">
        <v>278</v>
      </c>
      <c r="K5" s="6" t="s">
        <v>279</v>
      </c>
    </row>
    <row r="6" customFormat="false" ht="15" hidden="false" customHeight="false" outlineLevel="0" collapsed="false">
      <c r="A6" s="8" t="s">
        <v>72</v>
      </c>
      <c r="B6" s="9" t="n">
        <v>0.531338478458325</v>
      </c>
      <c r="C6" s="9" t="n">
        <v>0.550137994480221</v>
      </c>
      <c r="D6" s="9" t="n">
        <v>0.6</v>
      </c>
      <c r="E6" s="9" t="n">
        <v>0.539501978591862</v>
      </c>
      <c r="F6" s="9" t="n">
        <v>0.0081635001335373</v>
      </c>
      <c r="G6" s="9" t="n">
        <v>0.494616355253754</v>
      </c>
      <c r="H6" s="9" t="n">
        <v>0.517436408935658</v>
      </c>
      <c r="I6" s="9" t="n">
        <v>0.539501978591862</v>
      </c>
      <c r="J6" s="9" t="n">
        <v>0.523425202464844</v>
      </c>
      <c r="K6" s="9" t="n">
        <v>0.0448856233381081</v>
      </c>
    </row>
    <row r="7" customFormat="false" ht="15" hidden="false" customHeight="false" outlineLevel="0" collapsed="false">
      <c r="A7" s="14" t="s">
        <v>74</v>
      </c>
      <c r="B7" s="15" t="n">
        <v>0.519323294649097</v>
      </c>
      <c r="C7" s="15" t="n">
        <v>0.544704264099037</v>
      </c>
      <c r="D7" s="15" t="n">
        <v>0.31</v>
      </c>
      <c r="E7" s="15" t="n">
        <v>0.523910165281006</v>
      </c>
      <c r="F7" s="15" t="n">
        <v>0.0045868706319089</v>
      </c>
      <c r="G7" s="15" t="n">
        <v>0.52349337798469</v>
      </c>
      <c r="H7" s="15" t="n">
        <v>0.522809359426084</v>
      </c>
      <c r="I7" s="15" t="n">
        <v>0.51111497506689</v>
      </c>
      <c r="J7" s="15" t="n">
        <v>0.500917770830155</v>
      </c>
      <c r="K7" s="15" t="n">
        <v>0.0229923944508513</v>
      </c>
    </row>
    <row r="8" customFormat="false" ht="15" hidden="false" customHeight="false" outlineLevel="0" collapsed="false">
      <c r="A8" s="19" t="s">
        <v>75</v>
      </c>
      <c r="B8" s="20" t="n">
        <v>0.631987229486153</v>
      </c>
      <c r="C8" s="20" t="n">
        <v>0.644138289576293</v>
      </c>
      <c r="D8" s="20" t="n">
        <v>0.29</v>
      </c>
      <c r="E8" s="20" t="n">
        <v>0.638798043712129</v>
      </c>
      <c r="F8" s="20" t="n">
        <v>0.0068108142259761</v>
      </c>
      <c r="G8" s="20" t="n">
        <v>0.637684239463204</v>
      </c>
      <c r="H8" s="20" t="n">
        <v>0.635368836246107</v>
      </c>
      <c r="I8" s="20" t="n">
        <v>0.619109931098566</v>
      </c>
      <c r="J8" s="20" t="n">
        <v>0.599723458274211</v>
      </c>
      <c r="K8" s="20" t="n">
        <v>0.0382821554917042</v>
      </c>
    </row>
    <row r="9" customFormat="false" ht="15" hidden="false" customHeight="false" outlineLevel="0" collapsed="false">
      <c r="A9" s="14" t="s">
        <v>77</v>
      </c>
      <c r="B9" s="15" t="n">
        <v>0.609458540503797</v>
      </c>
      <c r="C9" s="15" t="n">
        <v>0.623390557939914</v>
      </c>
      <c r="D9" s="15" t="n">
        <v>0.27</v>
      </c>
      <c r="E9" s="15" t="n">
        <v>0.617053198700941</v>
      </c>
      <c r="F9" s="15" t="n">
        <v>0.0075946581971434</v>
      </c>
      <c r="G9" s="15" t="n">
        <v>0.616978493145155</v>
      </c>
      <c r="H9" s="15" t="n">
        <v>0.611661190618225</v>
      </c>
      <c r="I9" s="15" t="n">
        <v>0.60402016952817</v>
      </c>
      <c r="J9" s="15" t="n">
        <v>0.598535470835142</v>
      </c>
      <c r="K9" s="15" t="n">
        <v>0.0186581607499248</v>
      </c>
    </row>
    <row r="10" customFormat="false" ht="15" hidden="false" customHeight="false" outlineLevel="0" collapsed="false">
      <c r="A10" s="8" t="s">
        <v>78</v>
      </c>
      <c r="B10" s="9" t="n">
        <v>0.617105917837761</v>
      </c>
      <c r="C10" s="9" t="n">
        <v>0.632723415539645</v>
      </c>
      <c r="D10" s="9" t="n">
        <v>0.38</v>
      </c>
      <c r="E10" s="9" t="n">
        <v>0.623212565012767</v>
      </c>
      <c r="F10" s="9" t="n">
        <v>0.006106647175006</v>
      </c>
      <c r="G10" s="9" t="n">
        <v>0.621053046679001</v>
      </c>
      <c r="H10" s="9" t="n">
        <v>0.622963228399242</v>
      </c>
      <c r="I10" s="9" t="n">
        <v>0.605711221465655</v>
      </c>
      <c r="J10" s="9" t="n">
        <v>0.585399954081359</v>
      </c>
      <c r="K10" s="9" t="n">
        <v>0.0378126109314075</v>
      </c>
    </row>
    <row r="11" customFormat="false" ht="15" hidden="false" customHeight="false" outlineLevel="0" collapsed="false">
      <c r="A11" s="24" t="s">
        <v>79</v>
      </c>
      <c r="B11" s="25" t="n">
        <v>0.640889456320737</v>
      </c>
      <c r="C11" s="25" t="n">
        <v>0.656228540035709</v>
      </c>
      <c r="D11" s="25" t="n">
        <v>0.32</v>
      </c>
      <c r="E11" s="25" t="n">
        <v>0.65477037196305</v>
      </c>
      <c r="F11" s="25" t="n">
        <v>0.0138809156423126</v>
      </c>
      <c r="G11" s="25" t="n">
        <v>0.653893411954553</v>
      </c>
      <c r="H11" s="25" t="n">
        <v>0.651593610904872</v>
      </c>
      <c r="I11" s="25" t="n">
        <v>0.621711404463056</v>
      </c>
      <c r="J11" s="25" t="n">
        <v>0.586251825580422</v>
      </c>
      <c r="K11" s="25" t="n">
        <v>0.0685185463826273</v>
      </c>
    </row>
    <row r="13" customFormat="false" ht="15" hidden="false" customHeight="false" outlineLevel="0" collapsed="false">
      <c r="A13" s="43" t="s">
        <v>280</v>
      </c>
    </row>
    <row r="14" customFormat="false" ht="15" hidden="false" customHeight="false" outlineLevel="0" collapsed="false">
      <c r="A14" s="6" t="s">
        <v>134</v>
      </c>
      <c r="B14" s="6" t="s">
        <v>72</v>
      </c>
      <c r="C14" s="6" t="s">
        <v>74</v>
      </c>
      <c r="D14" s="6" t="s">
        <v>75</v>
      </c>
      <c r="E14" s="6" t="s">
        <v>77</v>
      </c>
      <c r="F14" s="6" t="s">
        <v>78</v>
      </c>
      <c r="G14" s="6" t="s">
        <v>79</v>
      </c>
    </row>
    <row r="15" customFormat="false" ht="15" hidden="false" customHeight="false" outlineLevel="0" collapsed="false">
      <c r="A15" s="8" t="s">
        <v>139</v>
      </c>
      <c r="B15" s="44" t="n">
        <v>0.6</v>
      </c>
      <c r="C15" s="44" t="n">
        <v>0.31</v>
      </c>
      <c r="D15" s="44" t="n">
        <v>0.28</v>
      </c>
      <c r="E15" s="44" t="n">
        <v>0.75</v>
      </c>
      <c r="F15" s="44" t="n">
        <v>0.38</v>
      </c>
      <c r="G15" s="44" t="n">
        <v>0.44</v>
      </c>
    </row>
    <row r="16" customFormat="false" ht="15" hidden="false" customHeight="false" outlineLevel="0" collapsed="false">
      <c r="A16" s="14" t="s">
        <v>141</v>
      </c>
      <c r="B16" s="45" t="n">
        <v>0.62</v>
      </c>
      <c r="C16" s="45" t="n">
        <v>0.65</v>
      </c>
      <c r="D16" s="45" t="n">
        <v>0.37</v>
      </c>
      <c r="E16" s="45" t="n">
        <v>0.06</v>
      </c>
      <c r="F16" s="45" t="n">
        <v>0.26</v>
      </c>
      <c r="G16" s="45" t="n">
        <v>0.31</v>
      </c>
    </row>
    <row r="17" customFormat="false" ht="15" hidden="false" customHeight="false" outlineLevel="0" collapsed="false">
      <c r="A17" s="8" t="s">
        <v>143</v>
      </c>
      <c r="B17" s="44" t="n">
        <v>0.59</v>
      </c>
      <c r="C17" s="44" t="n">
        <v>0.64</v>
      </c>
      <c r="D17" s="44" t="n">
        <v>0.46</v>
      </c>
      <c r="E17" s="44" t="n">
        <v>0.49</v>
      </c>
      <c r="F17" s="44" t="n">
        <v>0.64</v>
      </c>
      <c r="G17" s="44" t="n">
        <v>0.5</v>
      </c>
    </row>
    <row r="18" customFormat="false" ht="15" hidden="false" customHeight="false" outlineLevel="0" collapsed="false">
      <c r="A18" s="14" t="s">
        <v>144</v>
      </c>
      <c r="B18" s="45" t="n">
        <v>0.54</v>
      </c>
      <c r="C18" s="45" t="n">
        <v>0.55</v>
      </c>
      <c r="D18" s="45" t="n">
        <v>0.38</v>
      </c>
      <c r="E18" s="45" t="n">
        <v>0.27</v>
      </c>
      <c r="F18" s="45" t="n">
        <v>0.38</v>
      </c>
      <c r="G18" s="45" t="n">
        <v>0.31</v>
      </c>
    </row>
    <row r="19" customFormat="false" ht="15" hidden="false" customHeight="false" outlineLevel="0" collapsed="false">
      <c r="A19" s="8" t="s">
        <v>145</v>
      </c>
      <c r="B19" s="44" t="n">
        <v>0.4</v>
      </c>
      <c r="C19" s="44" t="n">
        <v>0.58</v>
      </c>
      <c r="D19" s="44" t="n">
        <v>0.25</v>
      </c>
      <c r="E19" s="44" t="n">
        <v>0.17</v>
      </c>
      <c r="F19" s="44" t="n">
        <v>0.21</v>
      </c>
      <c r="G19" s="44" t="n">
        <v>0.2</v>
      </c>
    </row>
    <row r="20" customFormat="false" ht="15" hidden="false" customHeight="false" outlineLevel="0" collapsed="false">
      <c r="A20" s="14" t="s">
        <v>147</v>
      </c>
      <c r="B20" s="45" t="n">
        <v>0.64</v>
      </c>
      <c r="C20" s="45" t="n">
        <v>0.61</v>
      </c>
      <c r="D20" s="45" t="n">
        <v>0.25</v>
      </c>
      <c r="E20" s="45" t="n">
        <v>0.49</v>
      </c>
      <c r="F20" s="45" t="n">
        <v>0.26</v>
      </c>
      <c r="G20" s="45" t="n">
        <v>0.32</v>
      </c>
    </row>
    <row r="21" customFormat="false" ht="15" hidden="false" customHeight="false" outlineLevel="0" collapsed="false">
      <c r="A21" s="8" t="s">
        <v>148</v>
      </c>
      <c r="B21" s="44" t="n">
        <v>0.63</v>
      </c>
      <c r="C21" s="44" t="n">
        <v>0.16</v>
      </c>
      <c r="D21" s="44" t="n">
        <v>0.69</v>
      </c>
      <c r="E21" s="44" t="n">
        <v>0.43</v>
      </c>
      <c r="F21" s="44" t="n">
        <v>0.63</v>
      </c>
      <c r="G21" s="44" t="n">
        <v>0.45</v>
      </c>
    </row>
    <row r="22" customFormat="false" ht="15" hidden="false" customHeight="false" outlineLevel="0" collapsed="false">
      <c r="A22" s="14" t="s">
        <v>149</v>
      </c>
      <c r="B22" s="45" t="n">
        <v>0.82</v>
      </c>
      <c r="C22" s="45" t="n">
        <v>0.45</v>
      </c>
      <c r="D22" s="45" t="n">
        <v>0.38</v>
      </c>
      <c r="E22" s="45" t="n">
        <v>0.62</v>
      </c>
      <c r="F22" s="45" t="n">
        <v>0.95</v>
      </c>
      <c r="G22" s="45" t="n">
        <v>0.57</v>
      </c>
    </row>
    <row r="23" customFormat="false" ht="15" hidden="false" customHeight="false" outlineLevel="0" collapsed="false">
      <c r="A23" s="8" t="s">
        <v>150</v>
      </c>
      <c r="B23" s="44" t="n">
        <v>0.43</v>
      </c>
      <c r="C23" s="44" t="n">
        <v>0.1</v>
      </c>
      <c r="D23" s="44" t="n">
        <v>0.17</v>
      </c>
      <c r="E23" s="44" t="n">
        <v>0.08</v>
      </c>
      <c r="F23" s="44" t="n">
        <v>0.46</v>
      </c>
      <c r="G23" s="44" t="n">
        <v>0.3</v>
      </c>
    </row>
    <row r="24" customFormat="false" ht="15" hidden="false" customHeight="false" outlineLevel="0" collapsed="false">
      <c r="A24" s="14" t="s">
        <v>151</v>
      </c>
      <c r="B24" s="45" t="n">
        <v>0.84</v>
      </c>
      <c r="C24" s="45" t="n">
        <v>0.51</v>
      </c>
      <c r="D24" s="45" t="n">
        <v>0.33</v>
      </c>
      <c r="E24" s="45" t="n">
        <v>0.36</v>
      </c>
      <c r="F24" s="45" t="n">
        <v>0.37</v>
      </c>
      <c r="G24" s="45" t="n">
        <v>0.32</v>
      </c>
    </row>
    <row r="25" customFormat="false" ht="15" hidden="false" customHeight="false" outlineLevel="0" collapsed="false">
      <c r="A25" s="8" t="s">
        <v>152</v>
      </c>
      <c r="B25" s="44" t="n">
        <v>0.64</v>
      </c>
      <c r="C25" s="44" t="n">
        <v>0.19</v>
      </c>
      <c r="D25" s="44" t="n">
        <v>0.38</v>
      </c>
      <c r="E25" s="44" t="n">
        <v>0.17</v>
      </c>
      <c r="F25" s="44" t="n">
        <v>0.71</v>
      </c>
      <c r="G25" s="44" t="n">
        <v>0.59</v>
      </c>
    </row>
    <row r="26" customFormat="false" ht="15" hidden="false" customHeight="false" outlineLevel="0" collapsed="false">
      <c r="A26" s="14" t="s">
        <v>153</v>
      </c>
      <c r="B26" s="45" t="n">
        <v>0.66</v>
      </c>
      <c r="C26" s="45" t="n">
        <v>0.38</v>
      </c>
      <c r="D26" s="45" t="n">
        <v>0.26</v>
      </c>
      <c r="E26" s="45" t="n">
        <v>0.1</v>
      </c>
      <c r="F26" s="45" t="n">
        <v>0.28</v>
      </c>
      <c r="G26" s="45" t="n">
        <v>0.45</v>
      </c>
    </row>
    <row r="27" customFormat="false" ht="15" hidden="false" customHeight="false" outlineLevel="0" collapsed="false">
      <c r="A27" s="8" t="s">
        <v>154</v>
      </c>
      <c r="B27" s="44" t="n">
        <v>0.37</v>
      </c>
      <c r="C27" s="44" t="n">
        <v>0.09</v>
      </c>
      <c r="D27" s="44" t="n">
        <v>0.22</v>
      </c>
      <c r="E27" s="44" t="n">
        <v>0.11</v>
      </c>
      <c r="F27" s="44" t="n">
        <v>0.34</v>
      </c>
      <c r="G27" s="44" t="n">
        <v>0.3</v>
      </c>
    </row>
    <row r="28" customFormat="false" ht="15" hidden="false" customHeight="false" outlineLevel="0" collapsed="false">
      <c r="A28" s="14" t="s">
        <v>155</v>
      </c>
      <c r="B28" s="45" t="n">
        <v>0.72</v>
      </c>
      <c r="C28" s="45" t="n">
        <v>0.13</v>
      </c>
      <c r="D28" s="45" t="n">
        <v>0.46</v>
      </c>
      <c r="E28" s="45" t="n">
        <v>0.29</v>
      </c>
      <c r="F28" s="45" t="n">
        <v>0.19</v>
      </c>
      <c r="G28" s="45" t="n">
        <v>0.48</v>
      </c>
    </row>
    <row r="29" customFormat="false" ht="15" hidden="false" customHeight="false" outlineLevel="0" collapsed="false">
      <c r="A29" s="8" t="s">
        <v>156</v>
      </c>
      <c r="B29" s="44" t="n">
        <v>0.65</v>
      </c>
      <c r="C29" s="44" t="n">
        <v>0.54</v>
      </c>
      <c r="D29" s="44" t="n">
        <v>0.37</v>
      </c>
      <c r="E29" s="44" t="n">
        <v>0.29</v>
      </c>
      <c r="F29" s="44" t="n">
        <v>0.17</v>
      </c>
      <c r="G29" s="44" t="n">
        <v>0.28</v>
      </c>
    </row>
    <row r="30" customFormat="false" ht="15" hidden="false" customHeight="false" outlineLevel="0" collapsed="false">
      <c r="A30" s="14" t="s">
        <v>157</v>
      </c>
      <c r="B30" s="45" t="n">
        <v>0.62</v>
      </c>
      <c r="C30" s="45" t="n">
        <v>0.35</v>
      </c>
      <c r="D30" s="45" t="n">
        <v>0.56</v>
      </c>
      <c r="E30" s="45" t="n">
        <v>0.66</v>
      </c>
      <c r="F30" s="45" t="n">
        <v>0.53</v>
      </c>
      <c r="G30" s="45" t="n">
        <v>0.41</v>
      </c>
    </row>
    <row r="31" customFormat="false" ht="15" hidden="false" customHeight="false" outlineLevel="0" collapsed="false">
      <c r="A31" s="8" t="s">
        <v>158</v>
      </c>
      <c r="B31" s="44" t="n">
        <v>0.65</v>
      </c>
      <c r="C31" s="44" t="n">
        <v>0.75</v>
      </c>
      <c r="D31" s="44" t="n">
        <v>0.41</v>
      </c>
      <c r="E31" s="44" t="n">
        <v>0.29</v>
      </c>
      <c r="F31" s="44" t="n">
        <v>0.28</v>
      </c>
      <c r="G31" s="44" t="n">
        <v>0.39</v>
      </c>
    </row>
    <row r="32" customFormat="false" ht="15" hidden="false" customHeight="false" outlineLevel="0" collapsed="false">
      <c r="A32" s="14" t="s">
        <v>159</v>
      </c>
      <c r="B32" s="45" t="n">
        <v>0.52</v>
      </c>
      <c r="C32" s="45" t="n">
        <v>0.43</v>
      </c>
      <c r="D32" s="45" t="n">
        <v>0.5</v>
      </c>
      <c r="E32" s="45" t="n">
        <v>0.68</v>
      </c>
      <c r="F32" s="45" t="n">
        <v>0.14</v>
      </c>
      <c r="G32" s="45" t="n">
        <v>0.42</v>
      </c>
    </row>
    <row r="33" customFormat="false" ht="15" hidden="false" customHeight="false" outlineLevel="0" collapsed="false">
      <c r="A33" s="8" t="s">
        <v>160</v>
      </c>
      <c r="B33" s="44" t="n">
        <v>0.6</v>
      </c>
      <c r="C33" s="44" t="n">
        <v>0.4</v>
      </c>
      <c r="D33" s="44" t="n">
        <v>0.55</v>
      </c>
      <c r="E33" s="44" t="n">
        <v>0.5</v>
      </c>
      <c r="F33" s="44" t="n">
        <v>0.42</v>
      </c>
      <c r="G33" s="44" t="n">
        <v>0.35</v>
      </c>
    </row>
    <row r="34" customFormat="false" ht="15" hidden="false" customHeight="false" outlineLevel="0" collapsed="false">
      <c r="A34" s="14" t="s">
        <v>161</v>
      </c>
      <c r="B34" s="45" t="n">
        <v>0.64</v>
      </c>
      <c r="C34" s="45" t="n">
        <v>0.61</v>
      </c>
      <c r="D34" s="45" t="n">
        <v>0.65</v>
      </c>
      <c r="E34" s="45" t="n">
        <v>0.24</v>
      </c>
      <c r="F34" s="45" t="n">
        <v>0.38</v>
      </c>
      <c r="G34" s="45" t="n">
        <v>0.47</v>
      </c>
    </row>
    <row r="35" customFormat="false" ht="15" hidden="false" customHeight="false" outlineLevel="0" collapsed="false">
      <c r="A35" s="8" t="s">
        <v>162</v>
      </c>
      <c r="B35" s="44" t="n">
        <v>0.47</v>
      </c>
      <c r="C35" s="44" t="n">
        <v>0.33</v>
      </c>
      <c r="D35" s="44" t="n">
        <v>0.35</v>
      </c>
      <c r="E35" s="44" t="n">
        <v>0.28</v>
      </c>
      <c r="F35" s="44" t="n">
        <v>0.41</v>
      </c>
      <c r="G35" s="44" t="n">
        <v>0.27</v>
      </c>
    </row>
    <row r="36" customFormat="false" ht="15" hidden="false" customHeight="false" outlineLevel="0" collapsed="false">
      <c r="A36" s="14" t="s">
        <v>163</v>
      </c>
      <c r="B36" s="45" t="n">
        <v>0.51</v>
      </c>
      <c r="C36" s="45" t="n">
        <v>0.47</v>
      </c>
      <c r="D36" s="45" t="n">
        <v>0.51</v>
      </c>
      <c r="E36" s="45" t="n">
        <v>0.18</v>
      </c>
      <c r="F36" s="45" t="n">
        <v>0.52</v>
      </c>
      <c r="G36" s="45" t="n">
        <v>0.37</v>
      </c>
    </row>
    <row r="37" customFormat="false" ht="15" hidden="false" customHeight="false" outlineLevel="0" collapsed="false">
      <c r="A37" s="8" t="s">
        <v>164</v>
      </c>
      <c r="B37" s="44" t="n">
        <v>0.71</v>
      </c>
      <c r="C37" s="44" t="n">
        <v>0.19</v>
      </c>
      <c r="D37" s="44" t="n">
        <v>0.55</v>
      </c>
      <c r="E37" s="44" t="n">
        <v>0.65</v>
      </c>
      <c r="F37" s="44" t="n">
        <v>0.82</v>
      </c>
      <c r="G37" s="44" t="n">
        <v>0.64</v>
      </c>
    </row>
    <row r="38" customFormat="false" ht="15" hidden="false" customHeight="false" outlineLevel="0" collapsed="false">
      <c r="A38" s="14" t="s">
        <v>165</v>
      </c>
      <c r="B38" s="45" t="n">
        <v>0.72</v>
      </c>
      <c r="C38" s="45" t="n">
        <v>0.27</v>
      </c>
      <c r="D38" s="45" t="n">
        <v>0.26</v>
      </c>
      <c r="E38" s="45" t="n">
        <v>0.08</v>
      </c>
      <c r="F38" s="45" t="n">
        <v>0.22</v>
      </c>
      <c r="G38" s="45" t="n">
        <v>0.36</v>
      </c>
    </row>
    <row r="39" customFormat="false" ht="15" hidden="false" customHeight="false" outlineLevel="0" collapsed="false">
      <c r="A39" s="8" t="s">
        <v>166</v>
      </c>
      <c r="B39" s="44" t="n">
        <v>0.49</v>
      </c>
      <c r="C39" s="44" t="n">
        <v>0.81</v>
      </c>
      <c r="D39" s="44" t="n">
        <v>0.49</v>
      </c>
      <c r="E39" s="44" t="n">
        <v>0.1</v>
      </c>
      <c r="F39" s="44" t="n">
        <v>0.48</v>
      </c>
      <c r="G39" s="44" t="n">
        <v>0.32</v>
      </c>
    </row>
    <row r="40" customFormat="false" ht="15" hidden="false" customHeight="false" outlineLevel="0" collapsed="false">
      <c r="A40" s="14" t="s">
        <v>167</v>
      </c>
      <c r="B40" s="45" t="n">
        <v>0.43</v>
      </c>
      <c r="C40" s="45" t="n">
        <v>0.11</v>
      </c>
      <c r="D40" s="45" t="n">
        <v>0.25</v>
      </c>
      <c r="E40" s="45" t="n">
        <v>0.05</v>
      </c>
      <c r="F40" s="45" t="n">
        <v>0.21</v>
      </c>
      <c r="G40" s="45" t="n">
        <v>0.25</v>
      </c>
    </row>
    <row r="41" customFormat="false" ht="15" hidden="false" customHeight="false" outlineLevel="0" collapsed="false">
      <c r="A41" s="8" t="s">
        <v>168</v>
      </c>
      <c r="B41" s="44" t="n">
        <v>0.35</v>
      </c>
      <c r="C41" s="44" t="n">
        <v>0.24</v>
      </c>
      <c r="D41" s="44" t="n">
        <v>0.29</v>
      </c>
      <c r="E41" s="44" t="n">
        <v>0.05</v>
      </c>
      <c r="F41" s="44" t="n">
        <v>0.23</v>
      </c>
      <c r="G41" s="44" t="n">
        <v>0.22</v>
      </c>
    </row>
    <row r="42" customFormat="false" ht="15" hidden="false" customHeight="false" outlineLevel="0" collapsed="false">
      <c r="A42" s="14" t="s">
        <v>169</v>
      </c>
      <c r="B42" s="45" t="n">
        <v>0.25</v>
      </c>
      <c r="C42" s="45" t="n">
        <v>0.51</v>
      </c>
      <c r="D42" s="45" t="n">
        <v>0.29</v>
      </c>
      <c r="E42" s="45" t="n">
        <v>0.35</v>
      </c>
      <c r="F42" s="45" t="n">
        <v>0.24</v>
      </c>
      <c r="G42" s="45" t="n">
        <v>0.37</v>
      </c>
    </row>
    <row r="44" customFormat="false" ht="15" hidden="false" customHeight="false" outlineLevel="0" collapsed="false">
      <c r="A44" s="43" t="s">
        <v>281</v>
      </c>
    </row>
    <row r="45" customFormat="false" ht="15" hidden="false" customHeight="false" outlineLevel="0" collapsed="false">
      <c r="A45" s="6" t="s">
        <v>94</v>
      </c>
      <c r="B45" s="6" t="s">
        <v>72</v>
      </c>
      <c r="C45" s="6" t="s">
        <v>74</v>
      </c>
      <c r="D45" s="6" t="s">
        <v>75</v>
      </c>
      <c r="E45" s="6" t="s">
        <v>77</v>
      </c>
      <c r="F45" s="6" t="s">
        <v>78</v>
      </c>
      <c r="G45" s="6" t="s">
        <v>79</v>
      </c>
    </row>
    <row r="46" customFormat="false" ht="15" hidden="false" customHeight="false" outlineLevel="0" collapsed="false">
      <c r="A46" s="44" t="n">
        <v>0.02</v>
      </c>
      <c r="B46" s="33" t="n">
        <v>0.202202395543186</v>
      </c>
      <c r="C46" s="33" t="n">
        <v>0.455300351374827</v>
      </c>
      <c r="D46" s="33" t="n">
        <v>0.479967636124584</v>
      </c>
      <c r="E46" s="33" t="n">
        <v>0.565995114088176</v>
      </c>
      <c r="F46" s="33" t="n">
        <v>0.484957171629153</v>
      </c>
      <c r="G46" s="11" t="n">
        <v>0.480470350583097</v>
      </c>
    </row>
    <row r="47" customFormat="false" ht="15" hidden="false" customHeight="false" outlineLevel="0" collapsed="false">
      <c r="A47" s="45" t="n">
        <v>0.03</v>
      </c>
      <c r="B47" s="35" t="n">
        <v>0.230875263719299</v>
      </c>
      <c r="C47" s="35" t="n">
        <v>0.472296094773306</v>
      </c>
      <c r="D47" s="35" t="n">
        <v>0.513717209259404</v>
      </c>
      <c r="E47" s="35" t="n">
        <v>0.578552889237736</v>
      </c>
      <c r="F47" s="35" t="n">
        <v>0.513240664363437</v>
      </c>
      <c r="G47" s="17" t="n">
        <v>0.513632380084034</v>
      </c>
    </row>
    <row r="48" customFormat="false" ht="15" hidden="false" customHeight="false" outlineLevel="0" collapsed="false">
      <c r="A48" s="44" t="n">
        <v>0.04</v>
      </c>
      <c r="B48" s="33" t="n">
        <v>0.254914829887902</v>
      </c>
      <c r="C48" s="33" t="n">
        <v>0.482875262512226</v>
      </c>
      <c r="D48" s="33" t="n">
        <v>0.53641323431149</v>
      </c>
      <c r="E48" s="33" t="n">
        <v>0.585931775927427</v>
      </c>
      <c r="F48" s="33" t="n">
        <v>0.532620029490124</v>
      </c>
      <c r="G48" s="11" t="n">
        <v>0.537773696382539</v>
      </c>
    </row>
    <row r="49" customFormat="false" ht="15" hidden="false" customHeight="false" outlineLevel="0" collapsed="false">
      <c r="A49" s="45" t="n">
        <v>0.05</v>
      </c>
      <c r="B49" s="35" t="n">
        <v>0.276640646756883</v>
      </c>
      <c r="C49" s="35" t="n">
        <v>0.491807458756138</v>
      </c>
      <c r="D49" s="35" t="n">
        <v>0.551524659069963</v>
      </c>
      <c r="E49" s="35" t="n">
        <v>0.592477936668732</v>
      </c>
      <c r="F49" s="35" t="n">
        <v>0.546176249028205</v>
      </c>
      <c r="G49" s="17" t="n">
        <v>0.553110569722341</v>
      </c>
    </row>
    <row r="50" customFormat="false" ht="15" hidden="false" customHeight="false" outlineLevel="0" collapsed="false">
      <c r="A50" s="44" t="n">
        <v>0.06</v>
      </c>
      <c r="B50" s="33" t="n">
        <v>0.295371330659919</v>
      </c>
      <c r="C50" s="33" t="n">
        <v>0.496967189641453</v>
      </c>
      <c r="D50" s="33" t="n">
        <v>0.561881441522223</v>
      </c>
      <c r="E50" s="33" t="n">
        <v>0.596275606654796</v>
      </c>
      <c r="F50" s="33" t="n">
        <v>0.558249293566759</v>
      </c>
      <c r="G50" s="11" t="n">
        <v>0.56618177645366</v>
      </c>
    </row>
    <row r="51" customFormat="false" ht="15" hidden="false" customHeight="false" outlineLevel="0" collapsed="false">
      <c r="A51" s="45" t="n">
        <v>0.07</v>
      </c>
      <c r="B51" s="35" t="n">
        <v>0.312872566646572</v>
      </c>
      <c r="C51" s="35" t="n">
        <v>0.501743935644796</v>
      </c>
      <c r="D51" s="35" t="n">
        <v>0.573766309531281</v>
      </c>
      <c r="E51" s="35" t="n">
        <v>0.60187259794345</v>
      </c>
      <c r="F51" s="35" t="n">
        <v>0.566122277280447</v>
      </c>
      <c r="G51" s="17" t="n">
        <v>0.576708252817191</v>
      </c>
    </row>
    <row r="52" customFormat="false" ht="15" hidden="false" customHeight="false" outlineLevel="0" collapsed="false">
      <c r="A52" s="44" t="n">
        <v>0.08</v>
      </c>
      <c r="B52" s="33" t="n">
        <v>0.328260975649022</v>
      </c>
      <c r="C52" s="33" t="n">
        <v>0.504611809204702</v>
      </c>
      <c r="D52" s="33" t="n">
        <v>0.581577036827055</v>
      </c>
      <c r="E52" s="33" t="n">
        <v>0.605579881134872</v>
      </c>
      <c r="F52" s="33" t="n">
        <v>0.57335216160425</v>
      </c>
      <c r="G52" s="11" t="n">
        <v>0.585509366510693</v>
      </c>
    </row>
    <row r="53" customFormat="false" ht="15" hidden="false" customHeight="false" outlineLevel="0" collapsed="false">
      <c r="A53" s="45" t="n">
        <v>0.09</v>
      </c>
      <c r="B53" s="35" t="n">
        <v>0.342170606774675</v>
      </c>
      <c r="C53" s="35" t="n">
        <v>0.506990342873907</v>
      </c>
      <c r="D53" s="35" t="n">
        <v>0.589797586856691</v>
      </c>
      <c r="E53" s="35" t="n">
        <v>0.604629280754912</v>
      </c>
      <c r="F53" s="35" t="n">
        <v>0.579453368515839</v>
      </c>
      <c r="G53" s="17" t="n">
        <v>0.593417381227601</v>
      </c>
    </row>
    <row r="54" customFormat="false" ht="15" hidden="false" customHeight="false" outlineLevel="0" collapsed="false">
      <c r="A54" s="44" t="n">
        <v>0.1</v>
      </c>
      <c r="B54" s="33" t="n">
        <v>0.355446344803098</v>
      </c>
      <c r="C54" s="33" t="n">
        <v>0.510383406404438</v>
      </c>
      <c r="D54" s="33" t="n">
        <v>0.597031539396031</v>
      </c>
      <c r="E54" s="33" t="n">
        <v>0.604949135717263</v>
      </c>
      <c r="F54" s="33" t="n">
        <v>0.585384175649639</v>
      </c>
      <c r="G54" s="11" t="n">
        <v>0.599888744792243</v>
      </c>
    </row>
    <row r="55" customFormat="false" ht="15" hidden="false" customHeight="false" outlineLevel="0" collapsed="false">
      <c r="A55" s="45" t="n">
        <v>0.11</v>
      </c>
      <c r="B55" s="35" t="n">
        <v>0.368049711219744</v>
      </c>
      <c r="C55" s="35" t="n">
        <v>0.510299495304309</v>
      </c>
      <c r="D55" s="35" t="n">
        <v>0.603001976310924</v>
      </c>
      <c r="E55" s="35" t="n">
        <v>0.608079883539492</v>
      </c>
      <c r="F55" s="35" t="n">
        <v>0.591163148844527</v>
      </c>
      <c r="G55" s="17" t="n">
        <v>0.606938622524192</v>
      </c>
    </row>
    <row r="56" customFormat="false" ht="15" hidden="false" customHeight="false" outlineLevel="0" collapsed="false">
      <c r="A56" s="44" t="n">
        <v>0.12</v>
      </c>
      <c r="B56" s="33" t="n">
        <v>0.378778476050064</v>
      </c>
      <c r="C56" s="33" t="n">
        <v>0.512005159649371</v>
      </c>
      <c r="D56" s="33" t="n">
        <v>0.605735132156373</v>
      </c>
      <c r="E56" s="33" t="n">
        <v>0.608797303604239</v>
      </c>
      <c r="F56" s="33" t="n">
        <v>0.594409498326692</v>
      </c>
      <c r="G56" s="11" t="n">
        <v>0.612713923599543</v>
      </c>
    </row>
    <row r="57" customFormat="false" ht="15" hidden="false" customHeight="false" outlineLevel="0" collapsed="false">
      <c r="A57" s="45" t="n">
        <v>0.13</v>
      </c>
      <c r="B57" s="35" t="n">
        <v>0.388903140115147</v>
      </c>
      <c r="C57" s="35" t="n">
        <v>0.514500902452487</v>
      </c>
      <c r="D57" s="35" t="n">
        <v>0.607452827465411</v>
      </c>
      <c r="E57" s="35" t="n">
        <v>0.609680569505852</v>
      </c>
      <c r="F57" s="35" t="n">
        <v>0.59778704931905</v>
      </c>
      <c r="G57" s="17" t="n">
        <v>0.617370976424444</v>
      </c>
    </row>
    <row r="58" customFormat="false" ht="15" hidden="false" customHeight="false" outlineLevel="0" collapsed="false">
      <c r="A58" s="44" t="n">
        <v>0.14</v>
      </c>
      <c r="B58" s="33" t="n">
        <v>0.399457514892008</v>
      </c>
      <c r="C58" s="33" t="n">
        <v>0.515924348693659</v>
      </c>
      <c r="D58" s="33" t="n">
        <v>0.610367170543355</v>
      </c>
      <c r="E58" s="33" t="n">
        <v>0.610612431137445</v>
      </c>
      <c r="F58" s="33" t="n">
        <v>0.601560318655739</v>
      </c>
      <c r="G58" s="11" t="n">
        <v>0.6209737805725</v>
      </c>
    </row>
    <row r="59" customFormat="false" ht="15" hidden="false" customHeight="false" outlineLevel="0" collapsed="false">
      <c r="A59" s="45" t="n">
        <v>0.15</v>
      </c>
      <c r="B59" s="35" t="n">
        <v>0.407169598080562</v>
      </c>
      <c r="C59" s="35" t="n">
        <v>0.515226347596439</v>
      </c>
      <c r="D59" s="35" t="n">
        <v>0.614044735492856</v>
      </c>
      <c r="E59" s="35" t="n">
        <v>0.611982509430781</v>
      </c>
      <c r="F59" s="35" t="n">
        <v>0.60503811208531</v>
      </c>
      <c r="G59" s="17" t="n">
        <v>0.623660405819414</v>
      </c>
    </row>
    <row r="60" customFormat="false" ht="15" hidden="false" customHeight="false" outlineLevel="0" collapsed="false">
      <c r="A60" s="44" t="n">
        <v>0.16</v>
      </c>
      <c r="B60" s="33" t="n">
        <v>0.415020367595847</v>
      </c>
      <c r="C60" s="33" t="n">
        <v>0.517482163548203</v>
      </c>
      <c r="D60" s="33" t="n">
        <v>0.61646756104232</v>
      </c>
      <c r="E60" s="33" t="n">
        <v>0.612681306995155</v>
      </c>
      <c r="F60" s="33" t="n">
        <v>0.607500627370753</v>
      </c>
      <c r="G60" s="11" t="n">
        <v>0.625569820737777</v>
      </c>
    </row>
    <row r="61" customFormat="false" ht="15" hidden="false" customHeight="false" outlineLevel="0" collapsed="false">
      <c r="A61" s="45" t="n">
        <v>0.17</v>
      </c>
      <c r="B61" s="35" t="n">
        <v>0.421912742346184</v>
      </c>
      <c r="C61" s="35" t="n">
        <v>0.518501354063518</v>
      </c>
      <c r="D61" s="35" t="n">
        <v>0.619470191713536</v>
      </c>
      <c r="E61" s="35" t="n">
        <v>0.612598759190391</v>
      </c>
      <c r="F61" s="35" t="n">
        <v>0.610186015621925</v>
      </c>
      <c r="G61" s="17" t="n">
        <v>0.629516539678396</v>
      </c>
    </row>
    <row r="62" customFormat="false" ht="15" hidden="false" customHeight="false" outlineLevel="0" collapsed="false">
      <c r="A62" s="44" t="n">
        <v>0.18</v>
      </c>
      <c r="B62" s="33" t="n">
        <v>0.428295986791996</v>
      </c>
      <c r="C62" s="33" t="n">
        <v>0.519888344853907</v>
      </c>
      <c r="D62" s="33" t="n">
        <v>0.620619889797436</v>
      </c>
      <c r="E62" s="33" t="n">
        <v>0.61230984921765</v>
      </c>
      <c r="F62" s="33" t="n">
        <v>0.612730043428779</v>
      </c>
      <c r="G62" s="11" t="n">
        <v>0.632415401407005</v>
      </c>
    </row>
    <row r="63" customFormat="false" ht="15" hidden="false" customHeight="false" outlineLevel="0" collapsed="false">
      <c r="A63" s="45" t="n">
        <v>0.19</v>
      </c>
      <c r="B63" s="35" t="n">
        <v>0.436670684926264</v>
      </c>
      <c r="C63" s="35" t="n">
        <v>0.520982632543955</v>
      </c>
      <c r="D63" s="35" t="n">
        <v>0.62230395466523</v>
      </c>
      <c r="E63" s="35" t="n">
        <v>0.613153431705064</v>
      </c>
      <c r="F63" s="35" t="n">
        <v>0.616291665665054</v>
      </c>
      <c r="G63" s="17" t="n">
        <v>0.63428320097358</v>
      </c>
    </row>
    <row r="64" customFormat="false" ht="15" hidden="false" customHeight="false" outlineLevel="0" collapsed="false">
      <c r="A64" s="44" t="n">
        <v>0.2</v>
      </c>
      <c r="B64" s="33" t="n">
        <v>0.443194684186596</v>
      </c>
      <c r="C64" s="33" t="n">
        <v>0.520516717871083</v>
      </c>
      <c r="D64" s="33" t="n">
        <v>0.624640116472842</v>
      </c>
      <c r="E64" s="33" t="n">
        <v>0.615545772362589</v>
      </c>
      <c r="F64" s="33" t="n">
        <v>0.617942534583802</v>
      </c>
      <c r="G64" s="11" t="n">
        <v>0.637114143110039</v>
      </c>
    </row>
    <row r="65" customFormat="false" ht="15" hidden="false" customHeight="false" outlineLevel="0" collapsed="false">
      <c r="A65" s="45" t="n">
        <v>0.21</v>
      </c>
      <c r="B65" s="35" t="n">
        <v>0.44962272500865</v>
      </c>
      <c r="C65" s="35" t="n">
        <v>0.519578436826128</v>
      </c>
      <c r="D65" s="35" t="n">
        <v>0.625759642812818</v>
      </c>
      <c r="E65" s="35" t="n">
        <v>0.615258340150673</v>
      </c>
      <c r="F65" s="35" t="n">
        <v>0.620163928856853</v>
      </c>
      <c r="G65" s="17" t="n">
        <v>0.639010277618765</v>
      </c>
    </row>
    <row r="66" customFormat="false" ht="15" hidden="false" customHeight="false" outlineLevel="0" collapsed="false">
      <c r="A66" s="44" t="n">
        <v>0.22</v>
      </c>
      <c r="B66" s="33" t="n">
        <v>0.456270476733611</v>
      </c>
      <c r="C66" s="33" t="n">
        <v>0.521265394274214</v>
      </c>
      <c r="D66" s="33" t="n">
        <v>0.628930145107591</v>
      </c>
      <c r="E66" s="33" t="n">
        <v>0.615314061254646</v>
      </c>
      <c r="F66" s="33" t="n">
        <v>0.620452904789333</v>
      </c>
      <c r="G66" s="11" t="n">
        <v>0.643062384122493</v>
      </c>
    </row>
    <row r="67" customFormat="false" ht="15" hidden="false" customHeight="false" outlineLevel="0" collapsed="false">
      <c r="A67" s="45" t="n">
        <v>0.23</v>
      </c>
      <c r="B67" s="35" t="n">
        <v>0.461517369352941</v>
      </c>
      <c r="C67" s="35" t="n">
        <v>0.521034402954462</v>
      </c>
      <c r="D67" s="35" t="n">
        <v>0.630090450437436</v>
      </c>
      <c r="E67" s="35" t="n">
        <v>0.615995720346534</v>
      </c>
      <c r="F67" s="35" t="n">
        <v>0.621006399429415</v>
      </c>
      <c r="G67" s="17" t="n">
        <v>0.643254513899862</v>
      </c>
    </row>
    <row r="68" customFormat="false" ht="15" hidden="false" customHeight="false" outlineLevel="0" collapsed="false">
      <c r="A68" s="44" t="n">
        <v>0.24</v>
      </c>
      <c r="B68" s="33" t="n">
        <v>0.468101612931436</v>
      </c>
      <c r="C68" s="33" t="n">
        <v>0.521944660167947</v>
      </c>
      <c r="D68" s="33" t="n">
        <v>0.630686279402798</v>
      </c>
      <c r="E68" s="33" t="n">
        <v>0.615892096324799</v>
      </c>
      <c r="F68" s="33" t="n">
        <v>0.619108964127482</v>
      </c>
      <c r="G68" s="11" t="n">
        <v>0.644744084770145</v>
      </c>
    </row>
    <row r="69" customFormat="false" ht="15" hidden="false" customHeight="false" outlineLevel="0" collapsed="false">
      <c r="A69" s="45" t="n">
        <v>0.25</v>
      </c>
      <c r="B69" s="35" t="n">
        <v>0.472779942342099</v>
      </c>
      <c r="C69" s="35" t="n">
        <v>0.522584861779357</v>
      </c>
      <c r="D69" s="35" t="n">
        <v>0.633779289308991</v>
      </c>
      <c r="E69" s="35" t="n">
        <v>0.615945572104467</v>
      </c>
      <c r="F69" s="35" t="n">
        <v>0.619511543662412</v>
      </c>
      <c r="G69" s="17" t="n">
        <v>0.645140728266799</v>
      </c>
    </row>
    <row r="70" customFormat="false" ht="15" hidden="false" customHeight="false" outlineLevel="0" collapsed="false">
      <c r="A70" s="44" t="n">
        <v>0.26</v>
      </c>
      <c r="B70" s="33" t="n">
        <v>0.477307630017832</v>
      </c>
      <c r="C70" s="33" t="n">
        <v>0.523236136249932</v>
      </c>
      <c r="D70" s="33" t="n">
        <v>0.635005219587152</v>
      </c>
      <c r="E70" s="33" t="n">
        <v>0.616569877949089</v>
      </c>
      <c r="F70" s="33" t="n">
        <v>0.622012406798763</v>
      </c>
      <c r="G70" s="11" t="n">
        <v>0.645199160650672</v>
      </c>
    </row>
    <row r="71" customFormat="false" ht="15" hidden="false" customHeight="false" outlineLevel="0" collapsed="false">
      <c r="A71" s="45" t="n">
        <v>0.27</v>
      </c>
      <c r="B71" s="35" t="n">
        <v>0.481748362776906</v>
      </c>
      <c r="C71" s="35" t="n">
        <v>0.523239220445223</v>
      </c>
      <c r="D71" s="35" t="n">
        <v>0.634798365209865</v>
      </c>
      <c r="E71" s="35" t="n">
        <v>0.617053198700941</v>
      </c>
      <c r="F71" s="35" t="n">
        <v>0.621822819770296</v>
      </c>
      <c r="G71" s="17" t="n">
        <v>0.647442744846733</v>
      </c>
    </row>
    <row r="72" customFormat="false" ht="15" hidden="false" customHeight="false" outlineLevel="0" collapsed="false">
      <c r="A72" s="44" t="n">
        <v>0.28</v>
      </c>
      <c r="B72" s="33" t="n">
        <v>0.486461367763416</v>
      </c>
      <c r="C72" s="33" t="n">
        <v>0.523258687662165</v>
      </c>
      <c r="D72" s="33" t="n">
        <v>0.637168123464936</v>
      </c>
      <c r="E72" s="33" t="n">
        <v>0.6162117267981</v>
      </c>
      <c r="F72" s="33" t="n">
        <v>0.62220203119834</v>
      </c>
      <c r="G72" s="11" t="n">
        <v>0.650134012453091</v>
      </c>
    </row>
    <row r="73" customFormat="false" ht="15" hidden="false" customHeight="false" outlineLevel="0" collapsed="false">
      <c r="A73" s="45" t="n">
        <v>0.29</v>
      </c>
      <c r="B73" s="35" t="n">
        <v>0.4907921493747</v>
      </c>
      <c r="C73" s="35" t="n">
        <v>0.522412716157198</v>
      </c>
      <c r="D73" s="35" t="n">
        <v>0.638798043712129</v>
      </c>
      <c r="E73" s="35" t="n">
        <v>0.616792855277578</v>
      </c>
      <c r="F73" s="35" t="n">
        <v>0.621803885767976</v>
      </c>
      <c r="G73" s="17" t="n">
        <v>0.650760256569942</v>
      </c>
    </row>
    <row r="74" customFormat="false" ht="15" hidden="false" customHeight="false" outlineLevel="0" collapsed="false">
      <c r="A74" s="44" t="n">
        <v>0.3</v>
      </c>
      <c r="B74" s="33" t="n">
        <v>0.494616355253754</v>
      </c>
      <c r="C74" s="33" t="n">
        <v>0.52349337798469</v>
      </c>
      <c r="D74" s="33" t="n">
        <v>0.637684239463204</v>
      </c>
      <c r="E74" s="33" t="n">
        <v>0.616978493145155</v>
      </c>
      <c r="F74" s="33" t="n">
        <v>0.621053046679001</v>
      </c>
      <c r="G74" s="11" t="n">
        <v>0.653893411954553</v>
      </c>
    </row>
    <row r="75" customFormat="false" ht="15" hidden="false" customHeight="false" outlineLevel="0" collapsed="false">
      <c r="A75" s="45" t="n">
        <v>0.31</v>
      </c>
      <c r="B75" s="35" t="n">
        <v>0.496798052728475</v>
      </c>
      <c r="C75" s="35" t="n">
        <v>0.523910165281006</v>
      </c>
      <c r="D75" s="35" t="n">
        <v>0.637509396340004</v>
      </c>
      <c r="E75" s="35" t="n">
        <v>0.616741731781304</v>
      </c>
      <c r="F75" s="35" t="n">
        <v>0.62115587577448</v>
      </c>
      <c r="G75" s="17" t="n">
        <v>0.654579864369501</v>
      </c>
    </row>
    <row r="76" customFormat="false" ht="15" hidden="false" customHeight="false" outlineLevel="0" collapsed="false">
      <c r="A76" s="44" t="n">
        <v>0.32</v>
      </c>
      <c r="B76" s="33" t="n">
        <v>0.500424787609481</v>
      </c>
      <c r="C76" s="33" t="n">
        <v>0.522709924198112</v>
      </c>
      <c r="D76" s="33" t="n">
        <v>0.636958255411921</v>
      </c>
      <c r="E76" s="33" t="n">
        <v>0.616016986612001</v>
      </c>
      <c r="F76" s="33" t="n">
        <v>0.620266362727792</v>
      </c>
      <c r="G76" s="11" t="n">
        <v>0.65477037196305</v>
      </c>
    </row>
    <row r="77" customFormat="false" ht="15" hidden="false" customHeight="false" outlineLevel="0" collapsed="false">
      <c r="A77" s="45" t="n">
        <v>0.33</v>
      </c>
      <c r="B77" s="35" t="n">
        <v>0.501800337591319</v>
      </c>
      <c r="C77" s="35" t="n">
        <v>0.522085078776971</v>
      </c>
      <c r="D77" s="35" t="n">
        <v>0.637890684137934</v>
      </c>
      <c r="E77" s="35" t="n">
        <v>0.6150445665764</v>
      </c>
      <c r="F77" s="35" t="n">
        <v>0.621236947129111</v>
      </c>
      <c r="G77" s="17" t="n">
        <v>0.654696385857123</v>
      </c>
    </row>
    <row r="78" customFormat="false" ht="15" hidden="false" customHeight="false" outlineLevel="0" collapsed="false">
      <c r="A78" s="44" t="n">
        <v>0.34</v>
      </c>
      <c r="B78" s="33" t="n">
        <v>0.502589894000577</v>
      </c>
      <c r="C78" s="33" t="n">
        <v>0.52219453870586</v>
      </c>
      <c r="D78" s="33" t="n">
        <v>0.637562108710855</v>
      </c>
      <c r="E78" s="33" t="n">
        <v>0.614298166393408</v>
      </c>
      <c r="F78" s="33" t="n">
        <v>0.621635372331925</v>
      </c>
      <c r="G78" s="11" t="n">
        <v>0.654350522175572</v>
      </c>
    </row>
    <row r="79" customFormat="false" ht="15" hidden="false" customHeight="false" outlineLevel="0" collapsed="false">
      <c r="A79" s="45" t="n">
        <v>0.35</v>
      </c>
      <c r="B79" s="35" t="n">
        <v>0.504416003496275</v>
      </c>
      <c r="C79" s="35" t="n">
        <v>0.52344105546853</v>
      </c>
      <c r="D79" s="35" t="n">
        <v>0.638005613765915</v>
      </c>
      <c r="E79" s="35" t="n">
        <v>0.61453043529537</v>
      </c>
      <c r="F79" s="35" t="n">
        <v>0.620708536495874</v>
      </c>
      <c r="G79" s="17" t="n">
        <v>0.654096463765687</v>
      </c>
    </row>
    <row r="80" customFormat="false" ht="15" hidden="false" customHeight="false" outlineLevel="0" collapsed="false">
      <c r="A80" s="44" t="n">
        <v>0.36</v>
      </c>
      <c r="B80" s="33" t="n">
        <v>0.508015743077543</v>
      </c>
      <c r="C80" s="33" t="n">
        <v>0.523488844940518</v>
      </c>
      <c r="D80" s="33" t="n">
        <v>0.637129806167286</v>
      </c>
      <c r="E80" s="33" t="n">
        <v>0.614412331123175</v>
      </c>
      <c r="F80" s="33" t="n">
        <v>0.622257572638457</v>
      </c>
      <c r="G80" s="11" t="n">
        <v>0.652532306901488</v>
      </c>
    </row>
    <row r="81" customFormat="false" ht="15" hidden="false" customHeight="false" outlineLevel="0" collapsed="false">
      <c r="A81" s="45" t="n">
        <v>0.37</v>
      </c>
      <c r="B81" s="35" t="n">
        <v>0.509050697225983</v>
      </c>
      <c r="C81" s="35" t="n">
        <v>0.522675369683071</v>
      </c>
      <c r="D81" s="35" t="n">
        <v>0.63735018294993</v>
      </c>
      <c r="E81" s="35" t="n">
        <v>0.614971557161574</v>
      </c>
      <c r="F81" s="35" t="n">
        <v>0.62260069023107</v>
      </c>
      <c r="G81" s="17" t="n">
        <v>0.652819899426111</v>
      </c>
    </row>
    <row r="82" customFormat="false" ht="15" hidden="false" customHeight="false" outlineLevel="0" collapsed="false">
      <c r="A82" s="44" t="n">
        <v>0.38</v>
      </c>
      <c r="B82" s="33" t="n">
        <v>0.511120009510782</v>
      </c>
      <c r="C82" s="33" t="n">
        <v>0.523556489057784</v>
      </c>
      <c r="D82" s="33" t="n">
        <v>0.636780250293182</v>
      </c>
      <c r="E82" s="33" t="n">
        <v>0.614517057726652</v>
      </c>
      <c r="F82" s="33" t="n">
        <v>0.623212565012767</v>
      </c>
      <c r="G82" s="11" t="n">
        <v>0.651621729940772</v>
      </c>
    </row>
    <row r="83" customFormat="false" ht="15" hidden="false" customHeight="false" outlineLevel="0" collapsed="false">
      <c r="A83" s="45" t="n">
        <v>0.39</v>
      </c>
      <c r="B83" s="35" t="n">
        <v>0.514500612660712</v>
      </c>
      <c r="C83" s="35" t="n">
        <v>0.523583472296926</v>
      </c>
      <c r="D83" s="35" t="n">
        <v>0.635679020755596</v>
      </c>
      <c r="E83" s="35" t="n">
        <v>0.613635075620498</v>
      </c>
      <c r="F83" s="35" t="n">
        <v>0.622985576671664</v>
      </c>
      <c r="G83" s="17" t="n">
        <v>0.651773860330191</v>
      </c>
    </row>
    <row r="84" customFormat="false" ht="15" hidden="false" customHeight="false" outlineLevel="0" collapsed="false">
      <c r="A84" s="44" t="n">
        <v>0.4</v>
      </c>
      <c r="B84" s="33" t="n">
        <v>0.517436408935658</v>
      </c>
      <c r="C84" s="33" t="n">
        <v>0.522809359426084</v>
      </c>
      <c r="D84" s="33" t="n">
        <v>0.635368836246107</v>
      </c>
      <c r="E84" s="33" t="n">
        <v>0.611661190618225</v>
      </c>
      <c r="F84" s="33" t="n">
        <v>0.622963228399242</v>
      </c>
      <c r="G84" s="11" t="n">
        <v>0.651593610904872</v>
      </c>
    </row>
    <row r="85" customFormat="false" ht="15" hidden="false" customHeight="false" outlineLevel="0" collapsed="false">
      <c r="A85" s="45" t="n">
        <v>0.41</v>
      </c>
      <c r="B85" s="35" t="n">
        <v>0.519127905520874</v>
      </c>
      <c r="C85" s="35" t="n">
        <v>0.522735184709624</v>
      </c>
      <c r="D85" s="35" t="n">
        <v>0.633930127511128</v>
      </c>
      <c r="E85" s="35" t="n">
        <v>0.61068471209733</v>
      </c>
      <c r="F85" s="35" t="n">
        <v>0.622390793659186</v>
      </c>
      <c r="G85" s="17" t="n">
        <v>0.650913714871751</v>
      </c>
    </row>
    <row r="86" customFormat="false" ht="15" hidden="false" customHeight="false" outlineLevel="0" collapsed="false">
      <c r="A86" s="44" t="n">
        <v>0.42</v>
      </c>
      <c r="B86" s="33" t="n">
        <v>0.520934965474242</v>
      </c>
      <c r="C86" s="33" t="n">
        <v>0.522229638898665</v>
      </c>
      <c r="D86" s="33" t="n">
        <v>0.632528696429055</v>
      </c>
      <c r="E86" s="33" t="n">
        <v>0.610870989252536</v>
      </c>
      <c r="F86" s="33" t="n">
        <v>0.621662254488899</v>
      </c>
      <c r="G86" s="11" t="n">
        <v>0.65187384242175</v>
      </c>
    </row>
    <row r="87" customFormat="false" ht="15" hidden="false" customHeight="false" outlineLevel="0" collapsed="false">
      <c r="A87" s="45" t="n">
        <v>0.43</v>
      </c>
      <c r="B87" s="35" t="n">
        <v>0.522127423671301</v>
      </c>
      <c r="C87" s="35" t="n">
        <v>0.521692032034756</v>
      </c>
      <c r="D87" s="35" t="n">
        <v>0.632477596527607</v>
      </c>
      <c r="E87" s="35" t="n">
        <v>0.610833269214416</v>
      </c>
      <c r="F87" s="35" t="n">
        <v>0.621475498885311</v>
      </c>
      <c r="G87" s="17" t="n">
        <v>0.65091170248138</v>
      </c>
    </row>
    <row r="88" customFormat="false" ht="15" hidden="false" customHeight="false" outlineLevel="0" collapsed="false">
      <c r="A88" s="44" t="n">
        <v>0.44</v>
      </c>
      <c r="B88" s="33" t="n">
        <v>0.522908726372697</v>
      </c>
      <c r="C88" s="33" t="n">
        <v>0.521704906290963</v>
      </c>
      <c r="D88" s="33" t="n">
        <v>0.632379629332982</v>
      </c>
      <c r="E88" s="33" t="n">
        <v>0.609455172034365</v>
      </c>
      <c r="F88" s="33" t="n">
        <v>0.621157343346775</v>
      </c>
      <c r="G88" s="11" t="n">
        <v>0.649902043697844</v>
      </c>
    </row>
    <row r="89" customFormat="false" ht="15" hidden="false" customHeight="false" outlineLevel="0" collapsed="false">
      <c r="A89" s="45" t="n">
        <v>0.45</v>
      </c>
      <c r="B89" s="35" t="n">
        <v>0.525767876303093</v>
      </c>
      <c r="C89" s="35" t="n">
        <v>0.522215784955871</v>
      </c>
      <c r="D89" s="35" t="n">
        <v>0.631633282129231</v>
      </c>
      <c r="E89" s="35" t="n">
        <v>0.609812780957556</v>
      </c>
      <c r="F89" s="35" t="n">
        <v>0.62057228306598</v>
      </c>
      <c r="G89" s="17" t="n">
        <v>0.648717007853425</v>
      </c>
    </row>
    <row r="90" customFormat="false" ht="15" hidden="false" customHeight="false" outlineLevel="0" collapsed="false">
      <c r="A90" s="44" t="n">
        <v>0.46</v>
      </c>
      <c r="B90" s="33" t="n">
        <v>0.527520142555824</v>
      </c>
      <c r="C90" s="33" t="n">
        <v>0.521815597821669</v>
      </c>
      <c r="D90" s="33" t="n">
        <v>0.632072148158227</v>
      </c>
      <c r="E90" s="33" t="n">
        <v>0.60958875838906</v>
      </c>
      <c r="F90" s="33" t="n">
        <v>0.620519775126193</v>
      </c>
      <c r="G90" s="11" t="n">
        <v>0.646369545255451</v>
      </c>
    </row>
    <row r="91" customFormat="false" ht="15" hidden="false" customHeight="false" outlineLevel="0" collapsed="false">
      <c r="A91" s="45" t="n">
        <v>0.47</v>
      </c>
      <c r="B91" s="35" t="n">
        <v>0.528461029823235</v>
      </c>
      <c r="C91" s="35" t="n">
        <v>0.520828412379086</v>
      </c>
      <c r="D91" s="35" t="n">
        <v>0.633118212569887</v>
      </c>
      <c r="E91" s="35" t="n">
        <v>0.610233181133698</v>
      </c>
      <c r="F91" s="35" t="n">
        <v>0.617721068113434</v>
      </c>
      <c r="G91" s="17" t="n">
        <v>0.645025558581762</v>
      </c>
    </row>
    <row r="92" customFormat="false" ht="15" hidden="false" customHeight="false" outlineLevel="0" collapsed="false">
      <c r="A92" s="44" t="n">
        <v>0.48</v>
      </c>
      <c r="B92" s="33" t="n">
        <v>0.529272605685059</v>
      </c>
      <c r="C92" s="33" t="n">
        <v>0.520442850495023</v>
      </c>
      <c r="D92" s="33" t="n">
        <v>0.632536722137389</v>
      </c>
      <c r="E92" s="33" t="n">
        <v>0.611237748299719</v>
      </c>
      <c r="F92" s="33" t="n">
        <v>0.618991976039349</v>
      </c>
      <c r="G92" s="11" t="n">
        <v>0.644394270778755</v>
      </c>
    </row>
    <row r="93" customFormat="false" ht="15" hidden="false" customHeight="false" outlineLevel="0" collapsed="false">
      <c r="A93" s="45" t="n">
        <v>0.49</v>
      </c>
      <c r="B93" s="35" t="n">
        <v>0.529729412312706</v>
      </c>
      <c r="C93" s="35" t="n">
        <v>0.520200641039453</v>
      </c>
      <c r="D93" s="35" t="n">
        <v>0.632462294600009</v>
      </c>
      <c r="E93" s="35" t="n">
        <v>0.611402189119865</v>
      </c>
      <c r="F93" s="35" t="n">
        <v>0.61859844311291</v>
      </c>
      <c r="G93" s="17" t="n">
        <v>0.644553194694312</v>
      </c>
    </row>
    <row r="94" customFormat="false" ht="15" hidden="false" customHeight="false" outlineLevel="0" collapsed="false">
      <c r="A94" s="44" t="n">
        <v>0.5</v>
      </c>
      <c r="B94" s="33" t="n">
        <v>0.531338478458325</v>
      </c>
      <c r="C94" s="33" t="n">
        <v>0.519323294649097</v>
      </c>
      <c r="D94" s="33" t="n">
        <v>0.631987229486153</v>
      </c>
      <c r="E94" s="33" t="n">
        <v>0.609458540503797</v>
      </c>
      <c r="F94" s="33" t="n">
        <v>0.617105917837761</v>
      </c>
      <c r="G94" s="11" t="n">
        <v>0.640889456320737</v>
      </c>
    </row>
    <row r="95" customFormat="false" ht="15" hidden="false" customHeight="false" outlineLevel="0" collapsed="false">
      <c r="A95" s="45" t="n">
        <v>0.51</v>
      </c>
      <c r="B95" s="35" t="n">
        <v>0.529754076192521</v>
      </c>
      <c r="C95" s="35" t="n">
        <v>0.519433705602079</v>
      </c>
      <c r="D95" s="35" t="n">
        <v>0.631266200548487</v>
      </c>
      <c r="E95" s="35" t="n">
        <v>0.609005325454719</v>
      </c>
      <c r="F95" s="35" t="n">
        <v>0.617937616356601</v>
      </c>
      <c r="G95" s="17" t="n">
        <v>0.639715691237214</v>
      </c>
    </row>
    <row r="96" customFormat="false" ht="15" hidden="false" customHeight="false" outlineLevel="0" collapsed="false">
      <c r="A96" s="44" t="n">
        <v>0.52</v>
      </c>
      <c r="B96" s="33" t="n">
        <v>0.531973570111957</v>
      </c>
      <c r="C96" s="33" t="n">
        <v>0.519214089777047</v>
      </c>
      <c r="D96" s="33" t="n">
        <v>0.630783040383371</v>
      </c>
      <c r="E96" s="33" t="n">
        <v>0.608941975577334</v>
      </c>
      <c r="F96" s="33" t="n">
        <v>0.615012057808402</v>
      </c>
      <c r="G96" s="11" t="n">
        <v>0.636224817543312</v>
      </c>
    </row>
    <row r="97" customFormat="false" ht="15" hidden="false" customHeight="false" outlineLevel="0" collapsed="false">
      <c r="A97" s="45" t="n">
        <v>0.53</v>
      </c>
      <c r="B97" s="35" t="n">
        <v>0.532144466420698</v>
      </c>
      <c r="C97" s="35" t="n">
        <v>0.51808037516602</v>
      </c>
      <c r="D97" s="35" t="n">
        <v>0.630838034162624</v>
      </c>
      <c r="E97" s="35" t="n">
        <v>0.609834817455733</v>
      </c>
      <c r="F97" s="35" t="n">
        <v>0.615005463912385</v>
      </c>
      <c r="G97" s="17" t="n">
        <v>0.634049712627552</v>
      </c>
    </row>
    <row r="98" customFormat="false" ht="15" hidden="false" customHeight="false" outlineLevel="0" collapsed="false">
      <c r="A98" s="44" t="n">
        <v>0.54</v>
      </c>
      <c r="B98" s="33" t="n">
        <v>0.533575563762499</v>
      </c>
      <c r="C98" s="33" t="n">
        <v>0.518940645995165</v>
      </c>
      <c r="D98" s="33" t="n">
        <v>0.630481610903439</v>
      </c>
      <c r="E98" s="33" t="n">
        <v>0.610024564810497</v>
      </c>
      <c r="F98" s="33" t="n">
        <v>0.613968001021344</v>
      </c>
      <c r="G98" s="11" t="n">
        <v>0.631847772166201</v>
      </c>
    </row>
    <row r="99" customFormat="false" ht="15" hidden="false" customHeight="false" outlineLevel="0" collapsed="false">
      <c r="A99" s="45" t="n">
        <v>0.55</v>
      </c>
      <c r="B99" s="35" t="n">
        <v>0.534303786496215</v>
      </c>
      <c r="C99" s="35" t="n">
        <v>0.517158027925959</v>
      </c>
      <c r="D99" s="35" t="n">
        <v>0.627706618933688</v>
      </c>
      <c r="E99" s="35" t="n">
        <v>0.60978256571703</v>
      </c>
      <c r="F99" s="35" t="n">
        <v>0.614012667191526</v>
      </c>
      <c r="G99" s="17" t="n">
        <v>0.631236105600553</v>
      </c>
    </row>
    <row r="100" customFormat="false" ht="15" hidden="false" customHeight="false" outlineLevel="0" collapsed="false">
      <c r="A100" s="44" t="n">
        <v>0.56</v>
      </c>
      <c r="B100" s="33" t="n">
        <v>0.534822845464238</v>
      </c>
      <c r="C100" s="33" t="n">
        <v>0.515074041387788</v>
      </c>
      <c r="D100" s="33" t="n">
        <v>0.625408714923028</v>
      </c>
      <c r="E100" s="33" t="n">
        <v>0.610435221781282</v>
      </c>
      <c r="F100" s="33" t="n">
        <v>0.612939272122759</v>
      </c>
      <c r="G100" s="11" t="n">
        <v>0.628201593902654</v>
      </c>
    </row>
    <row r="101" customFormat="false" ht="15" hidden="false" customHeight="false" outlineLevel="0" collapsed="false">
      <c r="A101" s="45" t="n">
        <v>0.57</v>
      </c>
      <c r="B101" s="35" t="n">
        <v>0.533818960725113</v>
      </c>
      <c r="C101" s="35" t="n">
        <v>0.513135678002489</v>
      </c>
      <c r="D101" s="35" t="n">
        <v>0.622474363988128</v>
      </c>
      <c r="E101" s="35" t="n">
        <v>0.608941288321874</v>
      </c>
      <c r="F101" s="35" t="n">
        <v>0.612930507885557</v>
      </c>
      <c r="G101" s="17" t="n">
        <v>0.62896737916366</v>
      </c>
    </row>
    <row r="102" customFormat="false" ht="15" hidden="false" customHeight="false" outlineLevel="0" collapsed="false">
      <c r="A102" s="44" t="n">
        <v>0.58</v>
      </c>
      <c r="B102" s="33" t="n">
        <v>0.535384899114453</v>
      </c>
      <c r="C102" s="33" t="n">
        <v>0.512699385268928</v>
      </c>
      <c r="D102" s="33" t="n">
        <v>0.621054871991173</v>
      </c>
      <c r="E102" s="33" t="n">
        <v>0.608667959759918</v>
      </c>
      <c r="F102" s="33" t="n">
        <v>0.610995694532811</v>
      </c>
      <c r="G102" s="11" t="n">
        <v>0.626587223468917</v>
      </c>
    </row>
    <row r="103" customFormat="false" ht="15" hidden="false" customHeight="false" outlineLevel="0" collapsed="false">
      <c r="A103" s="45" t="n">
        <v>0.59</v>
      </c>
      <c r="B103" s="35" t="n">
        <v>0.537613298067306</v>
      </c>
      <c r="C103" s="35" t="n">
        <v>0.511746097834733</v>
      </c>
      <c r="D103" s="35" t="n">
        <v>0.618965532282398</v>
      </c>
      <c r="E103" s="35" t="n">
        <v>0.605664091861443</v>
      </c>
      <c r="F103" s="35" t="n">
        <v>0.608072198593269</v>
      </c>
      <c r="G103" s="17" t="n">
        <v>0.624782250932863</v>
      </c>
    </row>
    <row r="104" customFormat="false" ht="15" hidden="false" customHeight="false" outlineLevel="0" collapsed="false">
      <c r="A104" s="44" t="n">
        <v>0.6</v>
      </c>
      <c r="B104" s="33" t="n">
        <v>0.539501978591862</v>
      </c>
      <c r="C104" s="33" t="n">
        <v>0.51111497506689</v>
      </c>
      <c r="D104" s="33" t="n">
        <v>0.619109931098566</v>
      </c>
      <c r="E104" s="33" t="n">
        <v>0.60402016952817</v>
      </c>
      <c r="F104" s="33" t="n">
        <v>0.605711221465655</v>
      </c>
      <c r="G104" s="11" t="n">
        <v>0.621711404463056</v>
      </c>
    </row>
    <row r="105" customFormat="false" ht="15" hidden="false" customHeight="false" outlineLevel="0" collapsed="false">
      <c r="A105" s="45" t="n">
        <v>0.61</v>
      </c>
      <c r="B105" s="35" t="n">
        <v>0.538561335302179</v>
      </c>
      <c r="C105" s="35" t="n">
        <v>0.51137203952516</v>
      </c>
      <c r="D105" s="35" t="n">
        <v>0.618221938729538</v>
      </c>
      <c r="E105" s="35" t="n">
        <v>0.602577233802411</v>
      </c>
      <c r="F105" s="35" t="n">
        <v>0.603118540029789</v>
      </c>
      <c r="G105" s="17" t="n">
        <v>0.616911686455519</v>
      </c>
    </row>
    <row r="106" customFormat="false" ht="15" hidden="false" customHeight="false" outlineLevel="0" collapsed="false">
      <c r="A106" s="44" t="n">
        <v>0.62</v>
      </c>
      <c r="B106" s="33" t="n">
        <v>0.538483637915857</v>
      </c>
      <c r="C106" s="33" t="n">
        <v>0.51138405387836</v>
      </c>
      <c r="D106" s="33" t="n">
        <v>0.617745369342493</v>
      </c>
      <c r="E106" s="33" t="n">
        <v>0.603741935188139</v>
      </c>
      <c r="F106" s="33" t="n">
        <v>0.601517255010871</v>
      </c>
      <c r="G106" s="11" t="n">
        <v>0.612501778880398</v>
      </c>
    </row>
    <row r="107" customFormat="false" ht="15" hidden="false" customHeight="false" outlineLevel="0" collapsed="false">
      <c r="A107" s="45" t="n">
        <v>0.63</v>
      </c>
      <c r="B107" s="35" t="n">
        <v>0.536781412474967</v>
      </c>
      <c r="C107" s="35" t="n">
        <v>0.5096690275198</v>
      </c>
      <c r="D107" s="35" t="n">
        <v>0.616483591201593</v>
      </c>
      <c r="E107" s="35" t="n">
        <v>0.604534982731461</v>
      </c>
      <c r="F107" s="35" t="n">
        <v>0.598914911138598</v>
      </c>
      <c r="G107" s="17" t="n">
        <v>0.609683188078427</v>
      </c>
    </row>
    <row r="108" customFormat="false" ht="15" hidden="false" customHeight="false" outlineLevel="0" collapsed="false">
      <c r="A108" s="44" t="n">
        <v>0.64</v>
      </c>
      <c r="B108" s="33" t="n">
        <v>0.53747722244442</v>
      </c>
      <c r="C108" s="33" t="n">
        <v>0.507768493773334</v>
      </c>
      <c r="D108" s="33" t="n">
        <v>0.614859093536354</v>
      </c>
      <c r="E108" s="33" t="n">
        <v>0.60309563508478</v>
      </c>
      <c r="F108" s="33" t="n">
        <v>0.598883808723643</v>
      </c>
      <c r="G108" s="11" t="n">
        <v>0.606979664716842</v>
      </c>
    </row>
    <row r="109" customFormat="false" ht="15" hidden="false" customHeight="false" outlineLevel="0" collapsed="false">
      <c r="A109" s="45" t="n">
        <v>0.65</v>
      </c>
      <c r="B109" s="35" t="n">
        <v>0.536077038734773</v>
      </c>
      <c r="C109" s="35" t="n">
        <v>0.507340724054377</v>
      </c>
      <c r="D109" s="35" t="n">
        <v>0.614357787184986</v>
      </c>
      <c r="E109" s="35" t="n">
        <v>0.602584252337858</v>
      </c>
      <c r="F109" s="35" t="n">
        <v>0.597293770773981</v>
      </c>
      <c r="G109" s="17" t="n">
        <v>0.605326351094703</v>
      </c>
    </row>
    <row r="110" customFormat="false" ht="15" hidden="false" customHeight="false" outlineLevel="0" collapsed="false">
      <c r="A110" s="44" t="n">
        <v>0.66</v>
      </c>
      <c r="B110" s="33" t="n">
        <v>0.534376103504368</v>
      </c>
      <c r="C110" s="33" t="n">
        <v>0.506084802803183</v>
      </c>
      <c r="D110" s="33" t="n">
        <v>0.611037037269052</v>
      </c>
      <c r="E110" s="33" t="n">
        <v>0.601523490443323</v>
      </c>
      <c r="F110" s="33" t="n">
        <v>0.59550913402803</v>
      </c>
      <c r="G110" s="11" t="n">
        <v>0.600824744223897</v>
      </c>
    </row>
    <row r="111" customFormat="false" ht="15" hidden="false" customHeight="false" outlineLevel="0" collapsed="false">
      <c r="A111" s="45" t="n">
        <v>0.67</v>
      </c>
      <c r="B111" s="35" t="n">
        <v>0.529801966032239</v>
      </c>
      <c r="C111" s="35" t="n">
        <v>0.506000430904083</v>
      </c>
      <c r="D111" s="35" t="n">
        <v>0.607436714133341</v>
      </c>
      <c r="E111" s="35" t="n">
        <v>0.600628762730524</v>
      </c>
      <c r="F111" s="35" t="n">
        <v>0.593285254765389</v>
      </c>
      <c r="G111" s="17" t="n">
        <v>0.595304008671096</v>
      </c>
    </row>
    <row r="112" customFormat="false" ht="15" hidden="false" customHeight="false" outlineLevel="0" collapsed="false">
      <c r="A112" s="44" t="n">
        <v>0.68</v>
      </c>
      <c r="B112" s="33" t="n">
        <v>0.529955459299342</v>
      </c>
      <c r="C112" s="33" t="n">
        <v>0.503642790362027</v>
      </c>
      <c r="D112" s="33" t="n">
        <v>0.604498836961689</v>
      </c>
      <c r="E112" s="33" t="n">
        <v>0.600759854908256</v>
      </c>
      <c r="F112" s="33" t="n">
        <v>0.59206194132264</v>
      </c>
      <c r="G112" s="11" t="n">
        <v>0.592600952109894</v>
      </c>
    </row>
    <row r="113" customFormat="false" ht="15" hidden="false" customHeight="false" outlineLevel="0" collapsed="false">
      <c r="A113" s="45" t="n">
        <v>0.69</v>
      </c>
      <c r="B113" s="35" t="n">
        <v>0.52640757787565</v>
      </c>
      <c r="C113" s="35" t="n">
        <v>0.502954269367293</v>
      </c>
      <c r="D113" s="35" t="n">
        <v>0.602359732654861</v>
      </c>
      <c r="E113" s="35" t="n">
        <v>0.59832033239523</v>
      </c>
      <c r="F113" s="35" t="n">
        <v>0.588260337571619</v>
      </c>
      <c r="G113" s="17" t="n">
        <v>0.5891030363665</v>
      </c>
    </row>
    <row r="114" customFormat="false" ht="15" hidden="false" customHeight="false" outlineLevel="0" collapsed="false">
      <c r="A114" s="44" t="n">
        <v>0.7</v>
      </c>
      <c r="B114" s="33" t="n">
        <v>0.523425202464844</v>
      </c>
      <c r="C114" s="33" t="n">
        <v>0.500917770830155</v>
      </c>
      <c r="D114" s="33" t="n">
        <v>0.599723458274211</v>
      </c>
      <c r="E114" s="33" t="n">
        <v>0.598535470835142</v>
      </c>
      <c r="F114" s="33" t="n">
        <v>0.585399954081359</v>
      </c>
      <c r="G114" s="11" t="n">
        <v>0.586251825580422</v>
      </c>
    </row>
    <row r="115" customFormat="false" ht="15" hidden="false" customHeight="false" outlineLevel="0" collapsed="false">
      <c r="A115" s="45" t="n">
        <v>0.71</v>
      </c>
      <c r="B115" s="35" t="n">
        <v>0.520181346361345</v>
      </c>
      <c r="C115" s="35" t="n">
        <v>0.500328522764614</v>
      </c>
      <c r="D115" s="35" t="n">
        <v>0.597139986543631</v>
      </c>
      <c r="E115" s="35" t="n">
        <v>0.597299530416605</v>
      </c>
      <c r="F115" s="35" t="n">
        <v>0.583501038027357</v>
      </c>
      <c r="G115" s="17" t="n">
        <v>0.583263783307393</v>
      </c>
    </row>
    <row r="116" customFormat="false" ht="15" hidden="false" customHeight="false" outlineLevel="0" collapsed="false">
      <c r="A116" s="44" t="n">
        <v>0.72</v>
      </c>
      <c r="B116" s="33" t="n">
        <v>0.519114429481789</v>
      </c>
      <c r="C116" s="33" t="n">
        <v>0.499233457361509</v>
      </c>
      <c r="D116" s="33" t="n">
        <v>0.593991776964956</v>
      </c>
      <c r="E116" s="33" t="n">
        <v>0.595846089258925</v>
      </c>
      <c r="F116" s="33" t="n">
        <v>0.581369187713437</v>
      </c>
      <c r="G116" s="11" t="n">
        <v>0.579043690408013</v>
      </c>
    </row>
    <row r="117" customFormat="false" ht="15" hidden="false" customHeight="false" outlineLevel="0" collapsed="false">
      <c r="A117" s="45" t="n">
        <v>0.73</v>
      </c>
      <c r="B117" s="35" t="n">
        <v>0.513024772075988</v>
      </c>
      <c r="C117" s="35" t="n">
        <v>0.497760303933965</v>
      </c>
      <c r="D117" s="35" t="n">
        <v>0.59096219585076</v>
      </c>
      <c r="E117" s="35" t="n">
        <v>0.596111468289293</v>
      </c>
      <c r="F117" s="35" t="n">
        <v>0.579783357829484</v>
      </c>
      <c r="G117" s="17" t="n">
        <v>0.576314876600444</v>
      </c>
    </row>
    <row r="118" customFormat="false" ht="15" hidden="false" customHeight="false" outlineLevel="0" collapsed="false">
      <c r="A118" s="44" t="n">
        <v>0.74</v>
      </c>
      <c r="B118" s="33" t="n">
        <v>0.509942117150702</v>
      </c>
      <c r="C118" s="33" t="n">
        <v>0.495711717073067</v>
      </c>
      <c r="D118" s="33" t="n">
        <v>0.589356440391604</v>
      </c>
      <c r="E118" s="33" t="n">
        <v>0.595528505875003</v>
      </c>
      <c r="F118" s="33" t="n">
        <v>0.577637081159823</v>
      </c>
      <c r="G118" s="11" t="n">
        <v>0.57210473929547</v>
      </c>
    </row>
    <row r="119" customFormat="false" ht="15" hidden="false" customHeight="false" outlineLevel="0" collapsed="false">
      <c r="A119" s="45" t="n">
        <v>0.75</v>
      </c>
      <c r="B119" s="35" t="n">
        <v>0.503715248983208</v>
      </c>
      <c r="C119" s="35" t="n">
        <v>0.495059054798166</v>
      </c>
      <c r="D119" s="35" t="n">
        <v>0.586335833907531</v>
      </c>
      <c r="E119" s="35" t="n">
        <v>0.594018056724971</v>
      </c>
      <c r="F119" s="35" t="n">
        <v>0.574777904210419</v>
      </c>
      <c r="G119" s="17" t="n">
        <v>0.56873548378821</v>
      </c>
    </row>
    <row r="120" customFormat="false" ht="15" hidden="false" customHeight="false" outlineLevel="0" collapsed="false">
      <c r="A120" s="44" t="n">
        <v>0.76</v>
      </c>
      <c r="B120" s="33" t="n">
        <v>0.501724412902717</v>
      </c>
      <c r="C120" s="33" t="n">
        <v>0.493653146223186</v>
      </c>
      <c r="D120" s="33" t="n">
        <v>0.583876776349245</v>
      </c>
      <c r="E120" s="33" t="n">
        <v>0.593327422629929</v>
      </c>
      <c r="F120" s="33" t="n">
        <v>0.572325524156423</v>
      </c>
      <c r="G120" s="11" t="n">
        <v>0.564836307290039</v>
      </c>
    </row>
    <row r="121" customFormat="false" ht="15" hidden="false" customHeight="false" outlineLevel="0" collapsed="false">
      <c r="A121" s="45" t="n">
        <v>0.77</v>
      </c>
      <c r="B121" s="35" t="n">
        <v>0.498776334934015</v>
      </c>
      <c r="C121" s="35" t="n">
        <v>0.49321168040312</v>
      </c>
      <c r="D121" s="35" t="n">
        <v>0.581058120234683</v>
      </c>
      <c r="E121" s="35" t="n">
        <v>0.591192969926614</v>
      </c>
      <c r="F121" s="35" t="n">
        <v>0.571491914757838</v>
      </c>
      <c r="G121" s="17" t="n">
        <v>0.559857758812901</v>
      </c>
    </row>
    <row r="122" customFormat="false" ht="15" hidden="false" customHeight="false" outlineLevel="0" collapsed="false">
      <c r="A122" s="44" t="n">
        <v>0.78</v>
      </c>
      <c r="B122" s="33" t="n">
        <v>0.494484645477323</v>
      </c>
      <c r="C122" s="33" t="n">
        <v>0.489320098995596</v>
      </c>
      <c r="D122" s="33" t="n">
        <v>0.580408927834643</v>
      </c>
      <c r="E122" s="33" t="n">
        <v>0.591123106115753</v>
      </c>
      <c r="F122" s="33" t="n">
        <v>0.568121546696159</v>
      </c>
      <c r="G122" s="11" t="n">
        <v>0.553368892022545</v>
      </c>
    </row>
    <row r="123" customFormat="false" ht="15" hidden="false" customHeight="false" outlineLevel="0" collapsed="false">
      <c r="A123" s="45" t="n">
        <v>0.79</v>
      </c>
      <c r="B123" s="35" t="n">
        <v>0.4891583958867</v>
      </c>
      <c r="C123" s="35" t="n">
        <v>0.486629701226615</v>
      </c>
      <c r="D123" s="35" t="n">
        <v>0.577787134014833</v>
      </c>
      <c r="E123" s="35" t="n">
        <v>0.590119239306281</v>
      </c>
      <c r="F123" s="35" t="n">
        <v>0.562090415416398</v>
      </c>
      <c r="G123" s="17" t="n">
        <v>0.548543641625233</v>
      </c>
    </row>
    <row r="124" customFormat="false" ht="15" hidden="false" customHeight="false" outlineLevel="0" collapsed="false">
      <c r="A124" s="44" t="n">
        <v>0.8</v>
      </c>
      <c r="B124" s="33" t="n">
        <v>0.487219081896039</v>
      </c>
      <c r="C124" s="33" t="n">
        <v>0.48338529496675</v>
      </c>
      <c r="D124" s="33" t="n">
        <v>0.575212202619009</v>
      </c>
      <c r="E124" s="33" t="n">
        <v>0.5872650066234</v>
      </c>
      <c r="F124" s="33" t="n">
        <v>0.557404582699305</v>
      </c>
      <c r="G124" s="11" t="n">
        <v>0.546722923850278</v>
      </c>
    </row>
    <row r="125" customFormat="false" ht="15" hidden="false" customHeight="false" outlineLevel="0" collapsed="false">
      <c r="A125" s="45" t="n">
        <v>0.81</v>
      </c>
      <c r="B125" s="35" t="n">
        <v>0.481835748176867</v>
      </c>
      <c r="C125" s="35" t="n">
        <v>0.481582750022743</v>
      </c>
      <c r="D125" s="35" t="n">
        <v>0.569026263027548</v>
      </c>
      <c r="E125" s="35" t="n">
        <v>0.586864340919587</v>
      </c>
      <c r="F125" s="35" t="n">
        <v>0.551711750692809</v>
      </c>
      <c r="G125" s="17" t="n">
        <v>0.542108356293603</v>
      </c>
    </row>
    <row r="126" customFormat="false" ht="15" hidden="false" customHeight="false" outlineLevel="0" collapsed="false">
      <c r="A126" s="44" t="n">
        <v>0.82</v>
      </c>
      <c r="B126" s="33" t="n">
        <v>0.479569009802042</v>
      </c>
      <c r="C126" s="33" t="n">
        <v>0.479952731579404</v>
      </c>
      <c r="D126" s="33" t="n">
        <v>0.563025030035533</v>
      </c>
      <c r="E126" s="33" t="n">
        <v>0.584782825862763</v>
      </c>
      <c r="F126" s="33" t="n">
        <v>0.546984181608042</v>
      </c>
      <c r="G126" s="11" t="n">
        <v>0.532696101808042</v>
      </c>
    </row>
    <row r="127" customFormat="false" ht="15" hidden="false" customHeight="false" outlineLevel="0" collapsed="false">
      <c r="A127" s="45" t="n">
        <v>0.83</v>
      </c>
      <c r="B127" s="35" t="n">
        <v>0.473863946989345</v>
      </c>
      <c r="C127" s="35" t="n">
        <v>0.476659396417471</v>
      </c>
      <c r="D127" s="35" t="n">
        <v>0.558308367803113</v>
      </c>
      <c r="E127" s="35" t="n">
        <v>0.582567088973175</v>
      </c>
      <c r="F127" s="35" t="n">
        <v>0.541733103546363</v>
      </c>
      <c r="G127" s="17" t="n">
        <v>0.526042379775072</v>
      </c>
    </row>
    <row r="128" customFormat="false" ht="15" hidden="false" customHeight="false" outlineLevel="0" collapsed="false">
      <c r="A128" s="44" t="n">
        <v>0.84</v>
      </c>
      <c r="B128" s="33" t="n">
        <v>0.467268389719738</v>
      </c>
      <c r="C128" s="33" t="n">
        <v>0.471731255948123</v>
      </c>
      <c r="D128" s="33" t="n">
        <v>0.553939562051595</v>
      </c>
      <c r="E128" s="33" t="n">
        <v>0.579233687496257</v>
      </c>
      <c r="F128" s="33" t="n">
        <v>0.536391340998588</v>
      </c>
      <c r="G128" s="11" t="n">
        <v>0.519724277325785</v>
      </c>
    </row>
    <row r="129" customFormat="false" ht="15" hidden="false" customHeight="false" outlineLevel="0" collapsed="false">
      <c r="A129" s="45" t="n">
        <v>0.85</v>
      </c>
      <c r="B129" s="35" t="n">
        <v>0.461977273685647</v>
      </c>
      <c r="C129" s="35" t="n">
        <v>0.467406404027552</v>
      </c>
      <c r="D129" s="35" t="n">
        <v>0.549437528051023</v>
      </c>
      <c r="E129" s="35" t="n">
        <v>0.572199854312915</v>
      </c>
      <c r="F129" s="35" t="n">
        <v>0.530293759615155</v>
      </c>
      <c r="G129" s="17" t="n">
        <v>0.514435264420072</v>
      </c>
    </row>
    <row r="130" customFormat="false" ht="15" hidden="false" customHeight="false" outlineLevel="0" collapsed="false">
      <c r="A130" s="44" t="n">
        <v>0.86</v>
      </c>
      <c r="B130" s="33" t="n">
        <v>0.454119125705323</v>
      </c>
      <c r="C130" s="33" t="n">
        <v>0.464561512982129</v>
      </c>
      <c r="D130" s="33" t="n">
        <v>0.545137589994018</v>
      </c>
      <c r="E130" s="33" t="n">
        <v>0.569666843608145</v>
      </c>
      <c r="F130" s="33" t="n">
        <v>0.523211063131064</v>
      </c>
      <c r="G130" s="11" t="n">
        <v>0.507719087399003</v>
      </c>
    </row>
    <row r="131" customFormat="false" ht="15" hidden="false" customHeight="false" outlineLevel="0" collapsed="false">
      <c r="A131" s="45" t="n">
        <v>0.87</v>
      </c>
      <c r="B131" s="35" t="n">
        <v>0.446636386023184</v>
      </c>
      <c r="C131" s="35" t="n">
        <v>0.461560781806625</v>
      </c>
      <c r="D131" s="35" t="n">
        <v>0.535442080871425</v>
      </c>
      <c r="E131" s="35" t="n">
        <v>0.567707590594727</v>
      </c>
      <c r="F131" s="35" t="n">
        <v>0.518637045523537</v>
      </c>
      <c r="G131" s="17" t="n">
        <v>0.500431373079742</v>
      </c>
    </row>
    <row r="132" customFormat="false" ht="15" hidden="false" customHeight="false" outlineLevel="0" collapsed="false">
      <c r="A132" s="44" t="n">
        <v>0.88</v>
      </c>
      <c r="B132" s="33" t="n">
        <v>0.43951440223564</v>
      </c>
      <c r="C132" s="33" t="n">
        <v>0.458459629940418</v>
      </c>
      <c r="D132" s="33" t="n">
        <v>0.526690219365318</v>
      </c>
      <c r="E132" s="33" t="n">
        <v>0.56465901504138</v>
      </c>
      <c r="F132" s="33" t="n">
        <v>0.510693247451252</v>
      </c>
      <c r="G132" s="11" t="n">
        <v>0.49331975434351</v>
      </c>
    </row>
    <row r="133" customFormat="false" ht="15" hidden="false" customHeight="false" outlineLevel="0" collapsed="false">
      <c r="A133" s="45" t="n">
        <v>0.89</v>
      </c>
      <c r="B133" s="35" t="n">
        <v>0.426782303982139</v>
      </c>
      <c r="C133" s="35" t="n">
        <v>0.457262202752593</v>
      </c>
      <c r="D133" s="35" t="n">
        <v>0.518706116908473</v>
      </c>
      <c r="E133" s="35" t="n">
        <v>0.562640199206262</v>
      </c>
      <c r="F133" s="35" t="n">
        <v>0.50481884296172</v>
      </c>
      <c r="G133" s="17" t="n">
        <v>0.484190706058602</v>
      </c>
    </row>
    <row r="134" customFormat="false" ht="15" hidden="false" customHeight="false" outlineLevel="0" collapsed="false">
      <c r="A134" s="44" t="n">
        <v>0.9</v>
      </c>
      <c r="B134" s="33" t="n">
        <v>0.420192111358529</v>
      </c>
      <c r="C134" s="33" t="n">
        <v>0.453178282523662</v>
      </c>
      <c r="D134" s="33" t="n">
        <v>0.511852502824545</v>
      </c>
      <c r="E134" s="33" t="n">
        <v>0.559544589006327</v>
      </c>
      <c r="F134" s="33" t="n">
        <v>0.494153996992605</v>
      </c>
      <c r="G134" s="11" t="n">
        <v>0.475022653240155</v>
      </c>
    </row>
    <row r="135" customFormat="false" ht="15" hidden="false" customHeight="false" outlineLevel="0" collapsed="false">
      <c r="A135" s="45" t="n">
        <v>0.91</v>
      </c>
      <c r="B135" s="35" t="n">
        <v>0.410946703161804</v>
      </c>
      <c r="C135" s="35" t="n">
        <v>0.45113666515723</v>
      </c>
      <c r="D135" s="35" t="n">
        <v>0.501065366446855</v>
      </c>
      <c r="E135" s="35" t="n">
        <v>0.556713433769556</v>
      </c>
      <c r="F135" s="35" t="n">
        <v>0.482442773917544</v>
      </c>
      <c r="G135" s="17" t="n">
        <v>0.463080638823046</v>
      </c>
    </row>
    <row r="136" customFormat="false" ht="15" hidden="false" customHeight="false" outlineLevel="0" collapsed="false">
      <c r="A136" s="44" t="n">
        <v>0.92</v>
      </c>
      <c r="B136" s="33" t="n">
        <v>0.39382209729207</v>
      </c>
      <c r="C136" s="33" t="n">
        <v>0.448769591570991</v>
      </c>
      <c r="D136" s="33" t="n">
        <v>0.49180066700713</v>
      </c>
      <c r="E136" s="33" t="n">
        <v>0.553596445882686</v>
      </c>
      <c r="F136" s="33" t="n">
        <v>0.470364061458691</v>
      </c>
      <c r="G136" s="11" t="n">
        <v>0.453037106276337</v>
      </c>
    </row>
    <row r="137" customFormat="false" ht="15" hidden="false" customHeight="false" outlineLevel="0" collapsed="false">
      <c r="A137" s="45" t="n">
        <v>0.93</v>
      </c>
      <c r="B137" s="35" t="n">
        <v>0.378185704688983</v>
      </c>
      <c r="C137" s="35" t="n">
        <v>0.444309623536172</v>
      </c>
      <c r="D137" s="35" t="n">
        <v>0.480361932881987</v>
      </c>
      <c r="E137" s="35" t="n">
        <v>0.548254090081732</v>
      </c>
      <c r="F137" s="35" t="n">
        <v>0.457111840285127</v>
      </c>
      <c r="G137" s="17" t="n">
        <v>0.441785162231943</v>
      </c>
    </row>
    <row r="138" customFormat="false" ht="15" hidden="false" customHeight="false" outlineLevel="0" collapsed="false">
      <c r="A138" s="44" t="n">
        <v>0.94</v>
      </c>
      <c r="B138" s="33" t="n">
        <v>0.360953317211434</v>
      </c>
      <c r="C138" s="33" t="n">
        <v>0.434979565362783</v>
      </c>
      <c r="D138" s="33" t="n">
        <v>0.466202824422228</v>
      </c>
      <c r="E138" s="33" t="n">
        <v>0.544399895793259</v>
      </c>
      <c r="F138" s="33" t="n">
        <v>0.44635287629114</v>
      </c>
      <c r="G138" s="11" t="n">
        <v>0.427309706012686</v>
      </c>
    </row>
    <row r="139" customFormat="false" ht="15" hidden="false" customHeight="false" outlineLevel="0" collapsed="false">
      <c r="A139" s="45" t="n">
        <v>0.95</v>
      </c>
      <c r="B139" s="35" t="n">
        <v>0.345541659337456</v>
      </c>
      <c r="C139" s="35" t="n">
        <v>0.423176707596852</v>
      </c>
      <c r="D139" s="35" t="n">
        <v>0.455134755970351</v>
      </c>
      <c r="E139" s="35" t="n">
        <v>0.53736011160523</v>
      </c>
      <c r="F139" s="35" t="n">
        <v>0.435808666103238</v>
      </c>
      <c r="G139" s="17" t="n">
        <v>0.410390947947501</v>
      </c>
    </row>
    <row r="140" customFormat="false" ht="15" hidden="false" customHeight="false" outlineLevel="0" collapsed="false">
      <c r="A140" s="44" t="n">
        <v>0.96</v>
      </c>
      <c r="B140" s="33" t="n">
        <v>0.325476755436252</v>
      </c>
      <c r="C140" s="33" t="n">
        <v>0.411243278325758</v>
      </c>
      <c r="D140" s="33" t="n">
        <v>0.433185746994239</v>
      </c>
      <c r="E140" s="33" t="n">
        <v>0.527437063971653</v>
      </c>
      <c r="F140" s="33" t="n">
        <v>0.41091676787633</v>
      </c>
      <c r="G140" s="11" t="n">
        <v>0.384270956958787</v>
      </c>
    </row>
    <row r="141" customFormat="false" ht="15" hidden="false" customHeight="false" outlineLevel="0" collapsed="false">
      <c r="A141" s="45" t="n">
        <v>0.97</v>
      </c>
      <c r="B141" s="35" t="n">
        <v>0.297349123957778</v>
      </c>
      <c r="C141" s="35" t="n">
        <v>0.400509427695368</v>
      </c>
      <c r="D141" s="35" t="n">
        <v>0.410498814262967</v>
      </c>
      <c r="E141" s="35" t="n">
        <v>0.516566318765341</v>
      </c>
      <c r="F141" s="35" t="n">
        <v>0.385044109630761</v>
      </c>
      <c r="G141" s="17" t="n">
        <v>0.36059267511477</v>
      </c>
    </row>
    <row r="142" customFormat="false" ht="15" hidden="false" customHeight="false" outlineLevel="0" collapsed="false">
      <c r="A142" s="44" t="n">
        <v>0.98</v>
      </c>
      <c r="B142" s="33" t="n">
        <v>0.259515760529643</v>
      </c>
      <c r="C142" s="33" t="n">
        <v>0.38357778409623</v>
      </c>
      <c r="D142" s="33" t="n">
        <v>0.373334106835706</v>
      </c>
      <c r="E142" s="33" t="n">
        <v>0.500529924936005</v>
      </c>
      <c r="F142" s="33" t="n">
        <v>0.351451790546998</v>
      </c>
      <c r="G142" s="11" t="n">
        <v>0.334153694972123</v>
      </c>
    </row>
  </sheetData>
  <conditionalFormatting sqref="B15:G42">
    <cfRule type="colorScale" priority="2">
      <colorScale>
        <cfvo type="num" val="0.1"/>
        <cfvo type="num" val="0.5"/>
        <cfvo type="num" val="0.9"/>
        <color rgb="FFB7D3F7"/>
        <color rgb="FFFFFFFF"/>
        <color rgb="FFF7C59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9" min="3" style="0" width="20"/>
  </cols>
  <sheetData>
    <row r="1" customFormat="false" ht="17.35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283</v>
      </c>
    </row>
    <row r="4" customFormat="false" ht="15" hidden="false" customHeight="false" outlineLevel="0" collapsed="false">
      <c r="A4" s="6" t="s">
        <v>83</v>
      </c>
      <c r="B4" s="6" t="s">
        <v>93</v>
      </c>
      <c r="C4" s="6" t="s">
        <v>284</v>
      </c>
      <c r="D4" s="6" t="s">
        <v>285</v>
      </c>
      <c r="E4" s="6" t="s">
        <v>286</v>
      </c>
      <c r="F4" s="6" t="s">
        <v>287</v>
      </c>
      <c r="G4" s="6" t="s">
        <v>288</v>
      </c>
      <c r="H4" s="6" t="s">
        <v>289</v>
      </c>
      <c r="I4" s="6" t="s">
        <v>290</v>
      </c>
    </row>
    <row r="5" customFormat="false" ht="15" hidden="false" customHeight="false" outlineLevel="0" collapsed="false">
      <c r="A5" s="8" t="s">
        <v>72</v>
      </c>
      <c r="B5" s="8" t="s">
        <v>101</v>
      </c>
      <c r="C5" s="9" t="n">
        <v>0.56744915370603</v>
      </c>
      <c r="D5" s="9" t="n">
        <v>0.551193172390382</v>
      </c>
      <c r="E5" s="9" t="n">
        <v>0.506081176825256</v>
      </c>
      <c r="F5" s="9" t="n">
        <v>0.467336683417085</v>
      </c>
      <c r="G5" s="9" t="n">
        <v>0.561640530759952</v>
      </c>
      <c r="H5" s="9" t="n">
        <v>0.619460500963391</v>
      </c>
      <c r="I5" s="9" t="n">
        <v>0.62753036437247</v>
      </c>
    </row>
    <row r="6" customFormat="false" ht="15" hidden="false" customHeight="false" outlineLevel="0" collapsed="false">
      <c r="A6" s="14" t="s">
        <v>72</v>
      </c>
      <c r="B6" s="14" t="s">
        <v>103</v>
      </c>
      <c r="C6" s="15" t="n">
        <v>0.557501727273535</v>
      </c>
      <c r="D6" s="15" t="n">
        <v>0.547050425916359</v>
      </c>
      <c r="E6" s="15" t="n">
        <v>0.507544322725421</v>
      </c>
      <c r="F6" s="15" t="n">
        <v>0.493884682585906</v>
      </c>
      <c r="G6" s="15" t="n">
        <v>0.550583129915921</v>
      </c>
      <c r="H6" s="15" t="n">
        <v>0.610079575596817</v>
      </c>
      <c r="I6" s="15" t="n">
        <v>0.584070796460177</v>
      </c>
    </row>
    <row r="7" customFormat="false" ht="15" hidden="false" customHeight="false" outlineLevel="0" collapsed="false">
      <c r="A7" s="8" t="s">
        <v>72</v>
      </c>
      <c r="B7" s="8" t="s">
        <v>105</v>
      </c>
      <c r="C7" s="9" t="n">
        <v>0.563013666900819</v>
      </c>
      <c r="D7" s="9" t="n">
        <v>0.550109401178109</v>
      </c>
      <c r="E7" s="9" t="n">
        <v>0.504183008182004</v>
      </c>
      <c r="F7" s="9" t="n">
        <v>0.472306143001007</v>
      </c>
      <c r="G7" s="9" t="n">
        <v>0.552409339294585</v>
      </c>
      <c r="H7" s="9" t="n">
        <v>0.596</v>
      </c>
      <c r="I7" s="9" t="n">
        <v>0.585774058577406</v>
      </c>
    </row>
    <row r="8" customFormat="false" ht="15" hidden="false" customHeight="false" outlineLevel="0" collapsed="false">
      <c r="A8" s="14" t="s">
        <v>74</v>
      </c>
      <c r="B8" s="14" t="s">
        <v>101</v>
      </c>
      <c r="C8" s="15" t="n">
        <v>0.539365425936942</v>
      </c>
      <c r="D8" s="15" t="n">
        <v>0.514607028593545</v>
      </c>
      <c r="E8" s="15" t="n">
        <v>0.482446583371722</v>
      </c>
      <c r="F8" s="15" t="n">
        <v>0.501540357362908</v>
      </c>
      <c r="G8" s="15" t="n">
        <v>0.531222515391381</v>
      </c>
      <c r="H8" s="15" t="n">
        <v>0.556571428571429</v>
      </c>
      <c r="I8" s="15" t="n">
        <v>0.570743405275779</v>
      </c>
    </row>
    <row r="9" customFormat="false" ht="15" hidden="false" customHeight="false" outlineLevel="0" collapsed="false">
      <c r="A9" s="8" t="s">
        <v>74</v>
      </c>
      <c r="B9" s="8" t="s">
        <v>103</v>
      </c>
      <c r="C9" s="9" t="n">
        <v>0.552223013700952</v>
      </c>
      <c r="D9" s="9" t="n">
        <v>0.5213344586948</v>
      </c>
      <c r="E9" s="9" t="n">
        <v>0.498260586641118</v>
      </c>
      <c r="F9" s="9" t="n">
        <v>0.483287671232877</v>
      </c>
      <c r="G9" s="9" t="n">
        <v>0.534261241970021</v>
      </c>
      <c r="H9" s="9" t="n">
        <v>0.59536354056902</v>
      </c>
      <c r="I9" s="9" t="n">
        <v>0.606334841628959</v>
      </c>
    </row>
    <row r="10" customFormat="false" ht="15" hidden="false" customHeight="false" outlineLevel="0" collapsed="false">
      <c r="A10" s="14" t="s">
        <v>74</v>
      </c>
      <c r="B10" s="14" t="s">
        <v>105</v>
      </c>
      <c r="C10" s="15" t="n">
        <v>0.544221545355025</v>
      </c>
      <c r="D10" s="15" t="n">
        <v>0.511358389266516</v>
      </c>
      <c r="E10" s="15" t="n">
        <v>0.498604094045522</v>
      </c>
      <c r="F10" s="15" t="n">
        <v>0.478527607361963</v>
      </c>
      <c r="G10" s="15" t="n">
        <v>0.540394487976223</v>
      </c>
      <c r="H10" s="15" t="n">
        <v>0.560687432867884</v>
      </c>
      <c r="I10" s="15" t="n">
        <v>0.586363636363636</v>
      </c>
    </row>
    <row r="11" customFormat="false" ht="15" hidden="false" customHeight="false" outlineLevel="0" collapsed="false">
      <c r="A11" s="19" t="s">
        <v>75</v>
      </c>
      <c r="B11" s="19" t="s">
        <v>101</v>
      </c>
      <c r="C11" s="20" t="n">
        <v>0.64075553590284</v>
      </c>
      <c r="D11" s="20" t="n">
        <v>0.652590982649231</v>
      </c>
      <c r="E11" s="20" t="n">
        <v>0.591520945907343</v>
      </c>
      <c r="F11" s="20" t="n">
        <v>0.569590643274854</v>
      </c>
      <c r="G11" s="20" t="n">
        <v>0.656301145662848</v>
      </c>
      <c r="H11" s="20" t="n">
        <v>0.689182058047493</v>
      </c>
      <c r="I11" s="20" t="n">
        <v>0.672645739910314</v>
      </c>
    </row>
    <row r="12" customFormat="false" ht="15" hidden="false" customHeight="false" outlineLevel="0" collapsed="false">
      <c r="A12" s="19" t="s">
        <v>75</v>
      </c>
      <c r="B12" s="19" t="s">
        <v>103</v>
      </c>
      <c r="C12" s="20" t="n">
        <v>0.643966329978183</v>
      </c>
      <c r="D12" s="20" t="n">
        <v>0.652805210347166</v>
      </c>
      <c r="E12" s="20" t="n">
        <v>0.60004534321227</v>
      </c>
      <c r="F12" s="20" t="n">
        <v>0.527363184079602</v>
      </c>
      <c r="G12" s="20" t="n">
        <v>0.659129179696897</v>
      </c>
      <c r="H12" s="20" t="n">
        <v>0.707187650747709</v>
      </c>
      <c r="I12" s="20" t="n">
        <v>0.750507099391481</v>
      </c>
    </row>
    <row r="13" customFormat="false" ht="15" hidden="false" customHeight="false" outlineLevel="0" collapsed="false">
      <c r="A13" s="19" t="s">
        <v>75</v>
      </c>
      <c r="B13" s="19" t="s">
        <v>105</v>
      </c>
      <c r="C13" s="20" t="n">
        <v>0.651093412034617</v>
      </c>
      <c r="D13" s="20" t="n">
        <v>0.651152203100505</v>
      </c>
      <c r="E13" s="20" t="n">
        <v>0.596639127513591</v>
      </c>
      <c r="F13" s="20" t="n">
        <v>0.541274817136886</v>
      </c>
      <c r="G13" s="20" t="n">
        <v>0.663985926112089</v>
      </c>
      <c r="H13" s="20" t="n">
        <v>0.70281124497992</v>
      </c>
      <c r="I13" s="20" t="n">
        <v>0.705128205128205</v>
      </c>
    </row>
    <row r="14" customFormat="false" ht="15" hidden="false" customHeight="false" outlineLevel="0" collapsed="false">
      <c r="A14" s="14" t="s">
        <v>77</v>
      </c>
      <c r="B14" s="14" t="s">
        <v>101</v>
      </c>
      <c r="C14" s="15" t="n">
        <v>0.639232316219979</v>
      </c>
      <c r="D14" s="15" t="n">
        <v>0.618852061948593</v>
      </c>
      <c r="E14" s="15" t="n">
        <v>0.581165941977579</v>
      </c>
      <c r="F14" s="15" t="n">
        <v>0.577132486388385</v>
      </c>
      <c r="G14" s="15" t="n">
        <v>0.63904998619166</v>
      </c>
      <c r="H14" s="15" t="n">
        <v>0.659139784946237</v>
      </c>
      <c r="I14" s="15" t="n">
        <v>0.657952069716776</v>
      </c>
    </row>
    <row r="15" customFormat="false" ht="15" hidden="false" customHeight="false" outlineLevel="0" collapsed="false">
      <c r="A15" s="8" t="s">
        <v>77</v>
      </c>
      <c r="B15" s="8" t="s">
        <v>103</v>
      </c>
      <c r="C15" s="9" t="n">
        <v>0.6410599475111</v>
      </c>
      <c r="D15" s="9" t="n">
        <v>0.62479039498583</v>
      </c>
      <c r="E15" s="9" t="n">
        <v>0.582394286399162</v>
      </c>
      <c r="F15" s="9" t="n">
        <v>0.554888039322774</v>
      </c>
      <c r="G15" s="9" t="n">
        <v>0.642709410548087</v>
      </c>
      <c r="H15" s="9" t="n">
        <v>0.675469781615033</v>
      </c>
      <c r="I15" s="9" t="n">
        <v>0.683127572016461</v>
      </c>
    </row>
    <row r="16" customFormat="false" ht="15" hidden="false" customHeight="false" outlineLevel="0" collapsed="false">
      <c r="A16" s="14" t="s">
        <v>77</v>
      </c>
      <c r="B16" s="14" t="s">
        <v>105</v>
      </c>
      <c r="C16" s="15" t="n">
        <v>0.641800577635772</v>
      </c>
      <c r="D16" s="15" t="n">
        <v>0.622059400990056</v>
      </c>
      <c r="E16" s="15" t="n">
        <v>0.572640959626521</v>
      </c>
      <c r="F16" s="15" t="n">
        <v>0.539112050739958</v>
      </c>
      <c r="G16" s="15" t="n">
        <v>0.637688442211055</v>
      </c>
      <c r="H16" s="15" t="n">
        <v>0.667001506780512</v>
      </c>
      <c r="I16" s="15" t="n">
        <v>0.687631027253669</v>
      </c>
    </row>
    <row r="17" customFormat="false" ht="15" hidden="false" customHeight="false" outlineLevel="0" collapsed="false">
      <c r="A17" s="8" t="s">
        <v>78</v>
      </c>
      <c r="B17" s="8" t="s">
        <v>101</v>
      </c>
      <c r="C17" s="9" t="n">
        <v>0.643750568419138</v>
      </c>
      <c r="D17" s="9" t="n">
        <v>0.640598907723329</v>
      </c>
      <c r="E17" s="9" t="n">
        <v>0.574511152085727</v>
      </c>
      <c r="F17" s="9" t="n">
        <v>0.600604229607251</v>
      </c>
      <c r="G17" s="9" t="n">
        <v>0.65220971726599</v>
      </c>
      <c r="H17" s="9" t="n">
        <v>0.656316916488223</v>
      </c>
      <c r="I17" s="9" t="n">
        <v>0.657596371882086</v>
      </c>
    </row>
    <row r="18" customFormat="false" ht="15" hidden="false" customHeight="false" outlineLevel="0" collapsed="false">
      <c r="A18" s="14" t="s">
        <v>78</v>
      </c>
      <c r="B18" s="14" t="s">
        <v>103</v>
      </c>
      <c r="C18" s="15" t="n">
        <v>0.647509093715063</v>
      </c>
      <c r="D18" s="15" t="n">
        <v>0.649578140561468</v>
      </c>
      <c r="E18" s="15" t="n">
        <v>0.576693633074963</v>
      </c>
      <c r="F18" s="15" t="n">
        <v>0.578802855573861</v>
      </c>
      <c r="G18" s="15" t="n">
        <v>0.655401945724526</v>
      </c>
      <c r="H18" s="15" t="n">
        <v>0.66937531742001</v>
      </c>
      <c r="I18" s="15" t="n">
        <v>0.713978494623656</v>
      </c>
    </row>
    <row r="19" customFormat="false" ht="15" hidden="false" customHeight="false" outlineLevel="0" collapsed="false">
      <c r="A19" s="8" t="s">
        <v>78</v>
      </c>
      <c r="B19" s="8" t="s">
        <v>105</v>
      </c>
      <c r="C19" s="9" t="n">
        <v>0.653982823290521</v>
      </c>
      <c r="D19" s="9" t="n">
        <v>0.649839463582387</v>
      </c>
      <c r="E19" s="9" t="n">
        <v>0.561118005079129</v>
      </c>
      <c r="F19" s="9" t="n">
        <v>0.575982996811902</v>
      </c>
      <c r="G19" s="9" t="n">
        <v>0.65427135678392</v>
      </c>
      <c r="H19" s="9" t="n">
        <v>0.668689934243804</v>
      </c>
      <c r="I19" s="9" t="n">
        <v>0.695278969957082</v>
      </c>
    </row>
    <row r="20" customFormat="false" ht="15" hidden="false" customHeight="false" outlineLevel="0" collapsed="false">
      <c r="A20" s="14" t="s">
        <v>79</v>
      </c>
      <c r="B20" s="14" t="s">
        <v>101</v>
      </c>
      <c r="C20" s="15" t="n">
        <v>0.660869189668539</v>
      </c>
      <c r="D20" s="15" t="n">
        <v>0.660741576478753</v>
      </c>
      <c r="E20" s="15" t="n">
        <v>0.60532217493978</v>
      </c>
      <c r="F20" s="15" t="n">
        <v>0.621086261980831</v>
      </c>
      <c r="G20" s="15" t="n">
        <v>0.671747106971493</v>
      </c>
      <c r="H20" s="15" t="n">
        <v>0.676133260513381</v>
      </c>
      <c r="I20" s="15" t="n">
        <v>0.69683257918552</v>
      </c>
    </row>
    <row r="21" customFormat="false" ht="15" hidden="false" customHeight="false" outlineLevel="0" collapsed="false">
      <c r="A21" s="8" t="s">
        <v>79</v>
      </c>
      <c r="B21" s="8" t="s">
        <v>103</v>
      </c>
      <c r="C21" s="9" t="n">
        <v>0.669629869808535</v>
      </c>
      <c r="D21" s="9" t="n">
        <v>0.670232180664018</v>
      </c>
      <c r="E21" s="9" t="n">
        <v>0.616878990849985</v>
      </c>
      <c r="F21" s="9" t="n">
        <v>0.575184016824395</v>
      </c>
      <c r="G21" s="9" t="n">
        <v>0.677075588599752</v>
      </c>
      <c r="H21" s="9" t="n">
        <v>0.72039312039312</v>
      </c>
      <c r="I21" s="9" t="n">
        <v>0.746450304259635</v>
      </c>
    </row>
    <row r="22" customFormat="false" ht="15" hidden="false" customHeight="false" outlineLevel="0" collapsed="false">
      <c r="A22" s="14" t="s">
        <v>79</v>
      </c>
      <c r="B22" s="14" t="s">
        <v>105</v>
      </c>
      <c r="C22" s="15" t="n">
        <v>0.673842424515819</v>
      </c>
      <c r="D22" s="15" t="n">
        <v>0.664419326572361</v>
      </c>
      <c r="E22" s="15" t="n">
        <v>0.606542654071425</v>
      </c>
      <c r="F22" s="15" t="n">
        <v>0.578065910318747</v>
      </c>
      <c r="G22" s="15" t="n">
        <v>0.682221658635557</v>
      </c>
      <c r="H22" s="15" t="n">
        <v>0.700604838709677</v>
      </c>
      <c r="I22" s="15" t="n">
        <v>0.718487394957983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2F3E"/>
    <pageSetUpPr fitToPage="false"/>
  </sheetPr>
  <dimension ref="A1:H1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1"/>
    <col collapsed="false" customWidth="true" hidden="false" outlineLevel="0" max="3" min="3" style="0" width="25"/>
    <col collapsed="false" customWidth="true" hidden="false" outlineLevel="0" max="4" min="4" style="0" width="51"/>
    <col collapsed="false" customWidth="true" hidden="false" outlineLevel="0" max="5" min="5" style="0" width="49"/>
    <col collapsed="false" customWidth="true" hidden="false" outlineLevel="0" max="6" min="6" style="0" width="60"/>
    <col collapsed="false" customWidth="true" hidden="false" outlineLevel="0" max="7" min="7" style="0" width="32"/>
    <col collapsed="false" customWidth="true" hidden="false" outlineLevel="0" max="8" min="8" style="0" width="23"/>
  </cols>
  <sheetData>
    <row r="1" customFormat="false" ht="17.35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292</v>
      </c>
    </row>
    <row r="4" customFormat="false" ht="15" hidden="false" customHeight="false" outlineLevel="0" collapsed="false">
      <c r="A4" s="43" t="s">
        <v>293</v>
      </c>
    </row>
    <row r="5" customFormat="false" ht="15" hidden="false" customHeight="false" outlineLevel="0" collapsed="false">
      <c r="A5" s="6" t="s">
        <v>134</v>
      </c>
      <c r="B5" s="6" t="s">
        <v>176</v>
      </c>
      <c r="C5" s="6" t="s">
        <v>294</v>
      </c>
      <c r="D5" s="6" t="s">
        <v>295</v>
      </c>
      <c r="E5" s="6" t="s">
        <v>296</v>
      </c>
      <c r="F5" s="6" t="s">
        <v>297</v>
      </c>
    </row>
    <row r="6" customFormat="false" ht="15" hidden="false" customHeight="false" outlineLevel="0" collapsed="false">
      <c r="A6" s="8" t="s">
        <v>167</v>
      </c>
      <c r="B6" s="11" t="n">
        <v>343</v>
      </c>
      <c r="C6" s="11" t="n">
        <v>145</v>
      </c>
      <c r="D6" s="9" t="n">
        <v>101</v>
      </c>
      <c r="E6" s="9" t="n">
        <v>0.423</v>
      </c>
      <c r="F6" s="9" t="n">
        <v>4.89</v>
      </c>
    </row>
    <row r="7" customFormat="false" ht="15" hidden="false" customHeight="false" outlineLevel="0" collapsed="false">
      <c r="A7" s="14" t="s">
        <v>139</v>
      </c>
      <c r="B7" s="17" t="n">
        <v>374</v>
      </c>
      <c r="C7" s="17" t="n">
        <v>105</v>
      </c>
      <c r="D7" s="15" t="n">
        <v>59</v>
      </c>
      <c r="E7" s="15" t="n">
        <v>0.281</v>
      </c>
      <c r="F7" s="15" t="n">
        <v>2.85</v>
      </c>
    </row>
    <row r="8" customFormat="false" ht="15" hidden="false" customHeight="false" outlineLevel="0" collapsed="false">
      <c r="A8" s="8" t="s">
        <v>162</v>
      </c>
      <c r="B8" s="11" t="n">
        <v>197</v>
      </c>
      <c r="C8" s="11" t="n">
        <v>90</v>
      </c>
      <c r="D8" s="9" t="n">
        <v>97</v>
      </c>
      <c r="E8" s="9" t="n">
        <v>0.457</v>
      </c>
      <c r="F8" s="9" t="n">
        <v>4.69</v>
      </c>
    </row>
    <row r="9" customFormat="false" ht="15" hidden="false" customHeight="false" outlineLevel="0" collapsed="false">
      <c r="A9" s="14" t="s">
        <v>143</v>
      </c>
      <c r="B9" s="17" t="n">
        <v>204</v>
      </c>
      <c r="C9" s="17" t="n">
        <v>80</v>
      </c>
      <c r="D9" s="15" t="n">
        <v>77</v>
      </c>
      <c r="E9" s="15" t="n">
        <v>0.392</v>
      </c>
      <c r="F9" s="15" t="n">
        <v>3.73</v>
      </c>
    </row>
    <row r="10" customFormat="false" ht="15" hidden="false" customHeight="false" outlineLevel="0" collapsed="false">
      <c r="A10" s="8" t="s">
        <v>166</v>
      </c>
      <c r="B10" s="11" t="n">
        <v>189</v>
      </c>
      <c r="C10" s="11" t="n">
        <v>78</v>
      </c>
      <c r="D10" s="9" t="n">
        <v>58</v>
      </c>
      <c r="E10" s="9" t="n">
        <v>0.413</v>
      </c>
      <c r="F10" s="9" t="n">
        <v>2.81</v>
      </c>
    </row>
    <row r="11" customFormat="false" ht="15" hidden="false" customHeight="false" outlineLevel="0" collapsed="false">
      <c r="A11" s="14" t="s">
        <v>168</v>
      </c>
      <c r="B11" s="17" t="n">
        <v>112</v>
      </c>
      <c r="C11" s="17" t="n">
        <v>77</v>
      </c>
      <c r="D11" s="15" t="n">
        <v>45</v>
      </c>
      <c r="E11" s="15" t="n">
        <v>0.688</v>
      </c>
      <c r="F11" s="15" t="n">
        <v>2.18</v>
      </c>
    </row>
    <row r="12" customFormat="false" ht="15" hidden="false" customHeight="false" outlineLevel="0" collapsed="false">
      <c r="A12" s="8" t="s">
        <v>165</v>
      </c>
      <c r="B12" s="11" t="n">
        <v>141</v>
      </c>
      <c r="C12" s="11" t="n">
        <v>75</v>
      </c>
      <c r="D12" s="9" t="n">
        <v>57</v>
      </c>
      <c r="E12" s="9" t="n">
        <v>0.532</v>
      </c>
      <c r="F12" s="9" t="n">
        <v>2.76</v>
      </c>
    </row>
    <row r="13" customFormat="false" ht="15" hidden="false" customHeight="false" outlineLevel="0" collapsed="false">
      <c r="A13" s="14" t="s">
        <v>169</v>
      </c>
      <c r="B13" s="17" t="n">
        <v>116</v>
      </c>
      <c r="C13" s="17" t="n">
        <v>71</v>
      </c>
      <c r="D13" s="15" t="n">
        <v>52</v>
      </c>
      <c r="E13" s="15" t="n">
        <v>0.612</v>
      </c>
      <c r="F13" s="15" t="n">
        <v>2.52</v>
      </c>
    </row>
    <row r="14" customFormat="false" ht="15" hidden="false" customHeight="false" outlineLevel="0" collapsed="false">
      <c r="A14" s="8" t="s">
        <v>163</v>
      </c>
      <c r="B14" s="11" t="n">
        <v>345</v>
      </c>
      <c r="C14" s="11" t="n">
        <v>70</v>
      </c>
      <c r="D14" s="9" t="n">
        <v>131</v>
      </c>
      <c r="E14" s="9" t="n">
        <v>0.203</v>
      </c>
      <c r="F14" s="9" t="n">
        <v>6.34</v>
      </c>
    </row>
    <row r="15" customFormat="false" ht="15" hidden="false" customHeight="false" outlineLevel="0" collapsed="false">
      <c r="A15" s="14" t="s">
        <v>154</v>
      </c>
      <c r="B15" s="17" t="n">
        <v>95</v>
      </c>
      <c r="C15" s="17" t="n">
        <v>57</v>
      </c>
      <c r="D15" s="15" t="n">
        <v>39</v>
      </c>
      <c r="E15" s="15" t="n">
        <v>0.6</v>
      </c>
      <c r="F15" s="15" t="n">
        <v>1.89</v>
      </c>
    </row>
    <row r="16" customFormat="false" ht="15" hidden="false" customHeight="false" outlineLevel="0" collapsed="false">
      <c r="A16" s="8" t="s">
        <v>157</v>
      </c>
      <c r="B16" s="11" t="n">
        <v>84</v>
      </c>
      <c r="C16" s="11" t="n">
        <v>48</v>
      </c>
      <c r="D16" s="9" t="n">
        <v>35</v>
      </c>
      <c r="E16" s="9" t="n">
        <v>0.571</v>
      </c>
      <c r="F16" s="9" t="n">
        <v>1.69</v>
      </c>
    </row>
    <row r="17" customFormat="false" ht="15" hidden="false" customHeight="false" outlineLevel="0" collapsed="false">
      <c r="A17" s="14" t="s">
        <v>159</v>
      </c>
      <c r="B17" s="17" t="n">
        <v>96</v>
      </c>
      <c r="C17" s="17" t="n">
        <v>45</v>
      </c>
      <c r="D17" s="15" t="n">
        <v>32</v>
      </c>
      <c r="E17" s="15" t="n">
        <v>0.469</v>
      </c>
      <c r="F17" s="15" t="n">
        <v>1.55</v>
      </c>
    </row>
    <row r="18" customFormat="false" ht="15" hidden="false" customHeight="false" outlineLevel="0" collapsed="false">
      <c r="A18" s="8" t="s">
        <v>153</v>
      </c>
      <c r="B18" s="11" t="n">
        <v>115</v>
      </c>
      <c r="C18" s="11" t="n">
        <v>44</v>
      </c>
      <c r="D18" s="9" t="n">
        <v>38</v>
      </c>
      <c r="E18" s="9" t="n">
        <v>0.383</v>
      </c>
      <c r="F18" s="9" t="n">
        <v>1.84</v>
      </c>
    </row>
    <row r="19" customFormat="false" ht="15" hidden="false" customHeight="false" outlineLevel="0" collapsed="false">
      <c r="A19" s="14" t="s">
        <v>148</v>
      </c>
      <c r="B19" s="17" t="n">
        <v>150</v>
      </c>
      <c r="C19" s="17" t="n">
        <v>44</v>
      </c>
      <c r="D19" s="15" t="n">
        <v>63</v>
      </c>
      <c r="E19" s="15" t="n">
        <v>0.293</v>
      </c>
      <c r="F19" s="15" t="n">
        <v>3.05</v>
      </c>
    </row>
    <row r="20" customFormat="false" ht="15" hidden="false" customHeight="false" outlineLevel="0" collapsed="false">
      <c r="A20" s="8" t="s">
        <v>141</v>
      </c>
      <c r="B20" s="11" t="n">
        <v>98</v>
      </c>
      <c r="C20" s="11" t="n">
        <v>41</v>
      </c>
      <c r="D20" s="9" t="n">
        <v>41</v>
      </c>
      <c r="E20" s="9" t="n">
        <v>0.418</v>
      </c>
      <c r="F20" s="9" t="n">
        <v>1.98</v>
      </c>
    </row>
    <row r="21" customFormat="false" ht="15" hidden="false" customHeight="false" outlineLevel="0" collapsed="false">
      <c r="A21" s="14" t="s">
        <v>155</v>
      </c>
      <c r="B21" s="17" t="n">
        <v>85</v>
      </c>
      <c r="C21" s="17" t="n">
        <v>39</v>
      </c>
      <c r="D21" s="15" t="n">
        <v>28</v>
      </c>
      <c r="E21" s="15" t="n">
        <v>0.459</v>
      </c>
      <c r="F21" s="15" t="n">
        <v>1.35</v>
      </c>
    </row>
    <row r="22" customFormat="false" ht="15" hidden="false" customHeight="false" outlineLevel="0" collapsed="false">
      <c r="A22" s="8" t="s">
        <v>150</v>
      </c>
      <c r="B22" s="11" t="n">
        <v>101</v>
      </c>
      <c r="C22" s="11" t="n">
        <v>38</v>
      </c>
      <c r="D22" s="9" t="n">
        <v>33</v>
      </c>
      <c r="E22" s="9" t="n">
        <v>0.376</v>
      </c>
      <c r="F22" s="9" t="n">
        <v>1.6</v>
      </c>
    </row>
    <row r="23" customFormat="false" ht="15" hidden="false" customHeight="false" outlineLevel="0" collapsed="false">
      <c r="A23" s="14" t="s">
        <v>145</v>
      </c>
      <c r="B23" s="17" t="n">
        <v>80</v>
      </c>
      <c r="C23" s="17" t="n">
        <v>38</v>
      </c>
      <c r="D23" s="15" t="n">
        <v>43</v>
      </c>
      <c r="E23" s="15" t="n">
        <v>0.475</v>
      </c>
      <c r="F23" s="15" t="n">
        <v>2.08</v>
      </c>
    </row>
    <row r="24" customFormat="false" ht="15" hidden="false" customHeight="false" outlineLevel="0" collapsed="false">
      <c r="A24" s="8" t="s">
        <v>147</v>
      </c>
      <c r="B24" s="11" t="n">
        <v>142</v>
      </c>
      <c r="C24" s="11" t="n">
        <v>37</v>
      </c>
      <c r="D24" s="9" t="n">
        <v>29</v>
      </c>
      <c r="E24" s="9" t="n">
        <v>0.261</v>
      </c>
      <c r="F24" s="9" t="n">
        <v>1.4</v>
      </c>
    </row>
    <row r="25" customFormat="false" ht="15" hidden="false" customHeight="false" outlineLevel="0" collapsed="false">
      <c r="A25" s="14" t="s">
        <v>144</v>
      </c>
      <c r="B25" s="17" t="n">
        <v>143</v>
      </c>
      <c r="C25" s="17" t="n">
        <v>36</v>
      </c>
      <c r="D25" s="15" t="n">
        <v>47</v>
      </c>
      <c r="E25" s="15" t="n">
        <v>0.252</v>
      </c>
      <c r="F25" s="15" t="n">
        <v>2.27</v>
      </c>
    </row>
    <row r="26" customFormat="false" ht="15" hidden="false" customHeight="false" outlineLevel="0" collapsed="false">
      <c r="A26" s="8" t="s">
        <v>156</v>
      </c>
      <c r="B26" s="11" t="n">
        <v>100</v>
      </c>
      <c r="C26" s="11" t="n">
        <v>35</v>
      </c>
      <c r="D26" s="9" t="n">
        <v>31</v>
      </c>
      <c r="E26" s="9" t="n">
        <v>0.35</v>
      </c>
      <c r="F26" s="9" t="n">
        <v>1.5</v>
      </c>
    </row>
    <row r="27" customFormat="false" ht="15" hidden="false" customHeight="false" outlineLevel="0" collapsed="false">
      <c r="A27" s="14" t="s">
        <v>149</v>
      </c>
      <c r="B27" s="17" t="n">
        <v>86</v>
      </c>
      <c r="C27" s="17" t="n">
        <v>31</v>
      </c>
      <c r="D27" s="15" t="n">
        <v>12</v>
      </c>
      <c r="E27" s="15" t="n">
        <v>0.36</v>
      </c>
      <c r="F27" s="15" t="n">
        <v>0.58</v>
      </c>
    </row>
    <row r="28" customFormat="false" ht="15" hidden="false" customHeight="false" outlineLevel="0" collapsed="false">
      <c r="A28" s="8" t="s">
        <v>158</v>
      </c>
      <c r="B28" s="11" t="n">
        <v>98</v>
      </c>
      <c r="C28" s="11" t="n">
        <v>28</v>
      </c>
      <c r="D28" s="9" t="n">
        <v>31</v>
      </c>
      <c r="E28" s="9" t="n">
        <v>0.286</v>
      </c>
      <c r="F28" s="9" t="n">
        <v>1.5</v>
      </c>
    </row>
    <row r="29" customFormat="false" ht="15" hidden="false" customHeight="false" outlineLevel="0" collapsed="false">
      <c r="A29" s="14" t="s">
        <v>160</v>
      </c>
      <c r="B29" s="17" t="n">
        <v>87</v>
      </c>
      <c r="C29" s="17" t="n">
        <v>25</v>
      </c>
      <c r="D29" s="15" t="n">
        <v>18</v>
      </c>
      <c r="E29" s="15" t="n">
        <v>0.287</v>
      </c>
      <c r="F29" s="15" t="n">
        <v>0.87</v>
      </c>
    </row>
    <row r="30" customFormat="false" ht="15" hidden="false" customHeight="false" outlineLevel="0" collapsed="false">
      <c r="A30" s="8" t="s">
        <v>152</v>
      </c>
      <c r="B30" s="11" t="n">
        <v>60</v>
      </c>
      <c r="C30" s="11" t="n">
        <v>23</v>
      </c>
      <c r="D30" s="9" t="n">
        <v>25</v>
      </c>
      <c r="E30" s="9" t="n">
        <v>0.383</v>
      </c>
      <c r="F30" s="9" t="n">
        <v>1.21</v>
      </c>
    </row>
    <row r="31" customFormat="false" ht="15" hidden="false" customHeight="false" outlineLevel="0" collapsed="false">
      <c r="A31" s="14" t="s">
        <v>164</v>
      </c>
      <c r="B31" s="17" t="n">
        <v>86</v>
      </c>
      <c r="C31" s="17" t="n">
        <v>22</v>
      </c>
      <c r="D31" s="15" t="n">
        <v>31</v>
      </c>
      <c r="E31" s="15" t="n">
        <v>0.256</v>
      </c>
      <c r="F31" s="15" t="n">
        <v>1.5</v>
      </c>
    </row>
    <row r="32" customFormat="false" ht="15" hidden="false" customHeight="false" outlineLevel="0" collapsed="false">
      <c r="A32" s="8" t="s">
        <v>151</v>
      </c>
      <c r="B32" s="11" t="n">
        <v>108</v>
      </c>
      <c r="C32" s="11" t="n">
        <v>16</v>
      </c>
      <c r="D32" s="9" t="n">
        <v>14</v>
      </c>
      <c r="E32" s="9" t="n">
        <v>0.148</v>
      </c>
      <c r="F32" s="9" t="n">
        <v>0.68</v>
      </c>
    </row>
    <row r="33" customFormat="false" ht="15" hidden="false" customHeight="false" outlineLevel="0" collapsed="false">
      <c r="A33" s="14" t="s">
        <v>161</v>
      </c>
      <c r="B33" s="17" t="n">
        <v>107</v>
      </c>
      <c r="C33" s="17" t="n">
        <v>11</v>
      </c>
      <c r="D33" s="15" t="n">
        <v>15</v>
      </c>
      <c r="E33" s="15" t="n">
        <v>0.103</v>
      </c>
      <c r="F33" s="15" t="n">
        <v>0.73</v>
      </c>
    </row>
    <row r="35" customFormat="false" ht="15" hidden="false" customHeight="false" outlineLevel="0" collapsed="false">
      <c r="A35" s="43" t="s">
        <v>298</v>
      </c>
    </row>
    <row r="36" customFormat="false" ht="15" hidden="false" customHeight="false" outlineLevel="0" collapsed="false">
      <c r="A36" s="6" t="s">
        <v>299</v>
      </c>
      <c r="B36" s="6" t="s">
        <v>300</v>
      </c>
      <c r="C36" s="6" t="s">
        <v>301</v>
      </c>
    </row>
    <row r="37" customFormat="false" ht="15" hidden="false" customHeight="false" outlineLevel="0" collapsed="false">
      <c r="A37" s="8" t="s">
        <v>167</v>
      </c>
      <c r="B37" s="8" t="s">
        <v>163</v>
      </c>
      <c r="C37" s="11" t="n">
        <v>24</v>
      </c>
    </row>
    <row r="38" customFormat="false" ht="15" hidden="false" customHeight="false" outlineLevel="0" collapsed="false">
      <c r="A38" s="14" t="s">
        <v>167</v>
      </c>
      <c r="B38" s="14" t="s">
        <v>162</v>
      </c>
      <c r="C38" s="17" t="n">
        <v>19</v>
      </c>
    </row>
    <row r="39" customFormat="false" ht="15" hidden="false" customHeight="false" outlineLevel="0" collapsed="false">
      <c r="A39" s="8" t="s">
        <v>165</v>
      </c>
      <c r="B39" s="8" t="s">
        <v>167</v>
      </c>
      <c r="C39" s="11" t="n">
        <v>16</v>
      </c>
    </row>
    <row r="40" customFormat="false" ht="15" hidden="false" customHeight="false" outlineLevel="0" collapsed="false">
      <c r="A40" s="14" t="s">
        <v>167</v>
      </c>
      <c r="B40" s="14" t="s">
        <v>165</v>
      </c>
      <c r="C40" s="17" t="n">
        <v>13</v>
      </c>
    </row>
    <row r="41" customFormat="false" ht="15" hidden="false" customHeight="false" outlineLevel="0" collapsed="false">
      <c r="A41" s="8" t="s">
        <v>165</v>
      </c>
      <c r="B41" s="8" t="s">
        <v>163</v>
      </c>
      <c r="C41" s="11" t="n">
        <v>13</v>
      </c>
    </row>
    <row r="42" customFormat="false" ht="15" hidden="false" customHeight="false" outlineLevel="0" collapsed="false">
      <c r="A42" s="14" t="s">
        <v>166</v>
      </c>
      <c r="B42" s="14" t="s">
        <v>167</v>
      </c>
      <c r="C42" s="17" t="n">
        <v>12</v>
      </c>
    </row>
    <row r="43" customFormat="false" ht="15" hidden="false" customHeight="false" outlineLevel="0" collapsed="false">
      <c r="A43" s="8" t="s">
        <v>166</v>
      </c>
      <c r="B43" s="8" t="s">
        <v>165</v>
      </c>
      <c r="C43" s="11" t="n">
        <v>12</v>
      </c>
    </row>
    <row r="44" customFormat="false" ht="15" hidden="false" customHeight="false" outlineLevel="0" collapsed="false">
      <c r="A44" s="14" t="s">
        <v>169</v>
      </c>
      <c r="B44" s="14" t="s">
        <v>167</v>
      </c>
      <c r="C44" s="17" t="n">
        <v>11</v>
      </c>
    </row>
    <row r="45" customFormat="false" ht="15" hidden="false" customHeight="false" outlineLevel="0" collapsed="false">
      <c r="A45" s="8" t="s">
        <v>154</v>
      </c>
      <c r="B45" s="8" t="s">
        <v>169</v>
      </c>
      <c r="C45" s="11" t="n">
        <v>11</v>
      </c>
    </row>
    <row r="46" customFormat="false" ht="15" hidden="false" customHeight="false" outlineLevel="0" collapsed="false">
      <c r="A46" s="14" t="s">
        <v>167</v>
      </c>
      <c r="B46" s="14" t="s">
        <v>139</v>
      </c>
      <c r="C46" s="17" t="n">
        <v>11</v>
      </c>
    </row>
    <row r="47" customFormat="false" ht="15" hidden="false" customHeight="false" outlineLevel="0" collapsed="false">
      <c r="A47" s="8" t="s">
        <v>165</v>
      </c>
      <c r="B47" s="8" t="s">
        <v>168</v>
      </c>
      <c r="C47" s="11" t="n">
        <v>11</v>
      </c>
    </row>
    <row r="48" customFormat="false" ht="15" hidden="false" customHeight="false" outlineLevel="0" collapsed="false">
      <c r="A48" s="14" t="s">
        <v>139</v>
      </c>
      <c r="B48" s="14" t="s">
        <v>163</v>
      </c>
      <c r="C48" s="17" t="n">
        <v>10</v>
      </c>
    </row>
    <row r="49" customFormat="false" ht="15" hidden="false" customHeight="false" outlineLevel="0" collapsed="false">
      <c r="A49" s="8" t="s">
        <v>166</v>
      </c>
      <c r="B49" s="8" t="s">
        <v>162</v>
      </c>
      <c r="C49" s="11" t="n">
        <v>10</v>
      </c>
    </row>
    <row r="50" customFormat="false" ht="15" hidden="false" customHeight="false" outlineLevel="0" collapsed="false">
      <c r="A50" s="14" t="s">
        <v>167</v>
      </c>
      <c r="B50" s="14" t="s">
        <v>166</v>
      </c>
      <c r="C50" s="17" t="n">
        <v>10</v>
      </c>
    </row>
    <row r="51" customFormat="false" ht="15" hidden="false" customHeight="false" outlineLevel="0" collapsed="false">
      <c r="A51" s="8" t="s">
        <v>165</v>
      </c>
      <c r="B51" s="8" t="s">
        <v>166</v>
      </c>
      <c r="C51" s="11" t="n">
        <v>10</v>
      </c>
    </row>
    <row r="52" customFormat="false" ht="15" hidden="false" customHeight="false" outlineLevel="0" collapsed="false">
      <c r="A52" s="14" t="s">
        <v>168</v>
      </c>
      <c r="B52" s="14" t="s">
        <v>167</v>
      </c>
      <c r="C52" s="17" t="n">
        <v>10</v>
      </c>
    </row>
    <row r="53" customFormat="false" ht="15" hidden="false" customHeight="false" outlineLevel="0" collapsed="false">
      <c r="A53" s="8" t="s">
        <v>166</v>
      </c>
      <c r="B53" s="8" t="s">
        <v>163</v>
      </c>
      <c r="C53" s="11" t="n">
        <v>10</v>
      </c>
    </row>
    <row r="54" customFormat="false" ht="15" hidden="false" customHeight="false" outlineLevel="0" collapsed="false">
      <c r="A54" s="14" t="s">
        <v>168</v>
      </c>
      <c r="B54" s="14" t="s">
        <v>162</v>
      </c>
      <c r="C54" s="17" t="n">
        <v>9</v>
      </c>
    </row>
    <row r="55" customFormat="false" ht="15" hidden="false" customHeight="false" outlineLevel="0" collapsed="false">
      <c r="A55" s="8" t="s">
        <v>139</v>
      </c>
      <c r="B55" s="8" t="s">
        <v>167</v>
      </c>
      <c r="C55" s="11" t="n">
        <v>9</v>
      </c>
    </row>
    <row r="56" customFormat="false" ht="15" hidden="false" customHeight="false" outlineLevel="0" collapsed="false">
      <c r="A56" s="14" t="s">
        <v>168</v>
      </c>
      <c r="B56" s="14" t="s">
        <v>166</v>
      </c>
      <c r="C56" s="17" t="n">
        <v>9</v>
      </c>
    </row>
    <row r="58" customFormat="false" ht="15" hidden="false" customHeight="false" outlineLevel="0" collapsed="false">
      <c r="A58" s="43" t="s">
        <v>302</v>
      </c>
    </row>
    <row r="59" customFormat="false" ht="15" hidden="false" customHeight="false" outlineLevel="0" collapsed="false">
      <c r="A59" s="6" t="s">
        <v>303</v>
      </c>
      <c r="B59" s="6" t="s">
        <v>304</v>
      </c>
      <c r="C59" s="6" t="s">
        <v>305</v>
      </c>
      <c r="D59" s="6" t="s">
        <v>306</v>
      </c>
      <c r="E59" s="6" t="s">
        <v>85</v>
      </c>
      <c r="F59" s="6" t="s">
        <v>307</v>
      </c>
      <c r="G59" s="6" t="s">
        <v>308</v>
      </c>
      <c r="H59" s="6" t="s">
        <v>309</v>
      </c>
    </row>
    <row r="60" customFormat="false" ht="15" hidden="false" customHeight="false" outlineLevel="0" collapsed="false">
      <c r="A60" s="8" t="s">
        <v>243</v>
      </c>
      <c r="B60" s="11" t="n">
        <v>2067</v>
      </c>
      <c r="C60" s="9" t="n">
        <v>0.293662312530237</v>
      </c>
      <c r="D60" s="9" t="n">
        <v>0.62756160680689</v>
      </c>
      <c r="E60" s="9" t="n">
        <v>0.646105999740832</v>
      </c>
      <c r="F60" s="9" t="n">
        <v>0.701015965166909</v>
      </c>
      <c r="G60" s="9" t="n">
        <v>0.620222544750847</v>
      </c>
      <c r="H60" s="9" t="n">
        <v>0.0314465408805031</v>
      </c>
    </row>
    <row r="61" customFormat="false" ht="15" hidden="false" customHeight="false" outlineLevel="0" collapsed="false">
      <c r="A61" s="14" t="s">
        <v>310</v>
      </c>
      <c r="B61" s="17" t="n">
        <v>337</v>
      </c>
      <c r="C61" s="15" t="n">
        <v>0.448071216617211</v>
      </c>
      <c r="D61" s="15" t="n">
        <v>0.699971739437615</v>
      </c>
      <c r="E61" s="15" t="n">
        <v>0.7029053420806</v>
      </c>
      <c r="F61" s="15" t="n">
        <v>0.451038575667656</v>
      </c>
      <c r="G61" s="15" t="n">
        <v>0.489614243323442</v>
      </c>
      <c r="H61" s="15" t="n">
        <v>0.0267062314540059</v>
      </c>
    </row>
    <row r="62" customFormat="false" ht="15" hidden="false" customHeight="false" outlineLevel="0" collapsed="false">
      <c r="A62" s="8" t="s">
        <v>311</v>
      </c>
      <c r="B62" s="11" t="n">
        <v>283</v>
      </c>
      <c r="C62" s="9" t="n">
        <v>0.197879858657244</v>
      </c>
      <c r="D62" s="9" t="n">
        <v>0.600112176790622</v>
      </c>
      <c r="E62" s="9" t="n">
        <v>0.621970920840065</v>
      </c>
      <c r="F62" s="9" t="n">
        <v>0.886925795053004</v>
      </c>
      <c r="G62" s="9" t="n">
        <v>0.76678445229682</v>
      </c>
      <c r="H62" s="9" t="n">
        <v>0.0176678445229682</v>
      </c>
    </row>
    <row r="63" customFormat="false" ht="15" hidden="false" customHeight="false" outlineLevel="0" collapsed="false">
      <c r="A63" s="14" t="s">
        <v>312</v>
      </c>
      <c r="B63" s="17" t="n">
        <v>536</v>
      </c>
      <c r="C63" s="15" t="n">
        <v>0.307835820895522</v>
      </c>
      <c r="D63" s="15" t="n">
        <v>0.663201847903341</v>
      </c>
      <c r="E63" s="15" t="n">
        <v>0.664770033191086</v>
      </c>
      <c r="F63" s="15" t="n">
        <v>0.66044776119403</v>
      </c>
      <c r="G63" s="15" t="n">
        <v>0.658582089552239</v>
      </c>
      <c r="H63" s="15" t="n">
        <v>0.0149253731343283</v>
      </c>
    </row>
    <row r="64" customFormat="false" ht="15" hidden="false" customHeight="false" outlineLevel="0" collapsed="false">
      <c r="A64" s="8" t="s">
        <v>313</v>
      </c>
      <c r="B64" s="11" t="n">
        <v>180</v>
      </c>
      <c r="C64" s="9" t="n">
        <v>0.333333333333333</v>
      </c>
      <c r="D64" s="9" t="n">
        <v>0.702314814814815</v>
      </c>
      <c r="E64" s="9" t="n">
        <v>0.704</v>
      </c>
      <c r="F64" s="9" t="n">
        <v>0.611111111111111</v>
      </c>
      <c r="G64" s="9" t="n">
        <v>0.622222222222222</v>
      </c>
      <c r="H64" s="9" t="n">
        <v>0.0166666666666666</v>
      </c>
    </row>
    <row r="65" customFormat="false" ht="15" hidden="false" customHeight="false" outlineLevel="0" collapsed="false">
      <c r="A65" s="14" t="s">
        <v>314</v>
      </c>
      <c r="B65" s="17" t="n">
        <v>236</v>
      </c>
      <c r="C65" s="15" t="n">
        <v>0.305084745762712</v>
      </c>
      <c r="D65" s="15" t="n">
        <v>0.674263518966909</v>
      </c>
      <c r="E65" s="15" t="n">
        <v>0.695557963163597</v>
      </c>
      <c r="F65" s="15" t="n">
        <v>0.669491525423729</v>
      </c>
      <c r="G65" s="15" t="n">
        <v>0.521186440677966</v>
      </c>
      <c r="H65" s="15" t="n">
        <v>0.0211864406779661</v>
      </c>
    </row>
    <row r="66" customFormat="false" ht="15" hidden="false" customHeight="false" outlineLevel="0" collapsed="false">
      <c r="A66" s="8" t="s">
        <v>315</v>
      </c>
      <c r="B66" s="11" t="n">
        <v>509</v>
      </c>
      <c r="C66" s="9" t="n">
        <v>0.267190569744597</v>
      </c>
      <c r="D66" s="9" t="n">
        <v>0.609528487229863</v>
      </c>
      <c r="E66" s="9" t="n">
        <v>0.6289500509684</v>
      </c>
      <c r="F66" s="9" t="n">
        <v>0.730844793713163</v>
      </c>
      <c r="G66" s="9" t="n">
        <v>0.699410609037328</v>
      </c>
      <c r="H66" s="9" t="n">
        <v>0.0235756385068762</v>
      </c>
    </row>
    <row r="67" customFormat="false" ht="15" hidden="false" customHeight="false" outlineLevel="0" collapsed="false">
      <c r="A67" s="14" t="s">
        <v>316</v>
      </c>
      <c r="B67" s="17" t="n">
        <v>793</v>
      </c>
      <c r="C67" s="15" t="n">
        <v>0.258511979823455</v>
      </c>
      <c r="D67" s="15" t="n">
        <v>0.60163434015893</v>
      </c>
      <c r="E67" s="15" t="n">
        <v>0.631041524846835</v>
      </c>
      <c r="F67" s="15" t="n">
        <v>0.749054224464061</v>
      </c>
      <c r="G67" s="15" t="n">
        <v>0.617906683480454</v>
      </c>
      <c r="H67" s="15" t="n">
        <v>0.0416141235813367</v>
      </c>
    </row>
    <row r="68" customFormat="false" ht="15" hidden="false" customHeight="false" outlineLevel="0" collapsed="false">
      <c r="A68" s="8" t="s">
        <v>317</v>
      </c>
      <c r="B68" s="11" t="n">
        <v>695</v>
      </c>
      <c r="C68" s="9" t="n">
        <v>0.40863309352518</v>
      </c>
      <c r="D68" s="9" t="n">
        <v>0.592374100719424</v>
      </c>
      <c r="E68" s="9" t="n">
        <v>0.569590643274854</v>
      </c>
      <c r="F68" s="9" t="n">
        <v>0.299280575539568</v>
      </c>
      <c r="G68" s="9" t="n">
        <v>0.759712230215827</v>
      </c>
      <c r="H68" s="9" t="n">
        <v>0.0474820143884892</v>
      </c>
    </row>
    <row r="69" customFormat="false" ht="15" hidden="false" customHeight="false" outlineLevel="0" collapsed="false">
      <c r="A69" s="14" t="s">
        <v>318</v>
      </c>
      <c r="B69" s="17" t="n">
        <v>946</v>
      </c>
      <c r="C69" s="15" t="n">
        <v>0.275898520084567</v>
      </c>
      <c r="D69" s="15" t="n">
        <v>0.636826739152321</v>
      </c>
      <c r="E69" s="15" t="n">
        <v>0.656301145662848</v>
      </c>
      <c r="F69" s="15" t="n">
        <v>0.728329809725159</v>
      </c>
      <c r="G69" s="15" t="n">
        <v>0.603594080338266</v>
      </c>
      <c r="H69" s="15" t="n">
        <v>0.0274841437632135</v>
      </c>
    </row>
    <row r="70" customFormat="false" ht="15" hidden="false" customHeight="false" outlineLevel="0" collapsed="false">
      <c r="A70" s="8" t="s">
        <v>319</v>
      </c>
      <c r="B70" s="11" t="n">
        <v>360</v>
      </c>
      <c r="C70" s="9" t="n">
        <v>0.155555555555556</v>
      </c>
      <c r="D70" s="9" t="n">
        <v>0.667969576719577</v>
      </c>
      <c r="E70" s="9" t="n">
        <v>0.689182058047493</v>
      </c>
      <c r="F70" s="9" t="n">
        <v>1.18611111111111</v>
      </c>
      <c r="G70" s="9" t="n">
        <v>0.45</v>
      </c>
      <c r="H70" s="9" t="n">
        <v>0.0138888888888888</v>
      </c>
    </row>
    <row r="71" customFormat="false" ht="15" hidden="false" customHeight="false" outlineLevel="0" collapsed="false">
      <c r="A71" s="14" t="s">
        <v>320</v>
      </c>
      <c r="B71" s="17" t="n">
        <v>66</v>
      </c>
      <c r="C71" s="15" t="n">
        <v>0.0909090909090909</v>
      </c>
      <c r="D71" s="15" t="n">
        <v>0.64488936988937</v>
      </c>
      <c r="E71" s="15" t="n">
        <v>0.672645739910314</v>
      </c>
      <c r="F71" s="15" t="n">
        <v>1.89393939393939</v>
      </c>
      <c r="G71" s="15" t="n">
        <v>0.318181818181818</v>
      </c>
      <c r="H71" s="15" t="n">
        <v>0.0151515151515151</v>
      </c>
    </row>
    <row r="73" customFormat="false" ht="15" hidden="false" customHeight="false" outlineLevel="0" collapsed="false">
      <c r="A73" s="43" t="s">
        <v>321</v>
      </c>
    </row>
    <row r="74" customFormat="false" ht="15" hidden="false" customHeight="false" outlineLevel="0" collapsed="false">
      <c r="A74" s="6" t="s">
        <v>322</v>
      </c>
      <c r="B74" s="6" t="s">
        <v>323</v>
      </c>
      <c r="C74" s="6" t="s">
        <v>324</v>
      </c>
      <c r="D74" s="6" t="s">
        <v>325</v>
      </c>
      <c r="E74" s="6" t="s">
        <v>326</v>
      </c>
      <c r="F74" s="6" t="s">
        <v>327</v>
      </c>
      <c r="G74" s="6" t="s">
        <v>328</v>
      </c>
    </row>
    <row r="75" customFormat="false" ht="15" hidden="false" customHeight="false" outlineLevel="0" collapsed="false">
      <c r="A75" s="8" t="s">
        <v>329</v>
      </c>
      <c r="B75" s="8" t="s">
        <v>330</v>
      </c>
      <c r="C75" s="8" t="s">
        <v>264</v>
      </c>
      <c r="D75" s="8" t="s">
        <v>331</v>
      </c>
      <c r="E75" s="8" t="s">
        <v>332</v>
      </c>
      <c r="F75" s="8" t="s">
        <v>333</v>
      </c>
      <c r="G75" s="8" t="s">
        <v>334</v>
      </c>
    </row>
    <row r="76" customFormat="false" ht="15" hidden="false" customHeight="false" outlineLevel="0" collapsed="false">
      <c r="A76" s="14" t="s">
        <v>329</v>
      </c>
      <c r="B76" s="14" t="s">
        <v>335</v>
      </c>
      <c r="C76" s="14" t="s">
        <v>246</v>
      </c>
      <c r="D76" s="14" t="s">
        <v>336</v>
      </c>
      <c r="E76" s="14" t="s">
        <v>332</v>
      </c>
      <c r="F76" s="14" t="s">
        <v>337</v>
      </c>
      <c r="G76" s="14" t="s">
        <v>338</v>
      </c>
    </row>
    <row r="77" customFormat="false" ht="15" hidden="false" customHeight="false" outlineLevel="0" collapsed="false">
      <c r="A77" s="8" t="s">
        <v>329</v>
      </c>
      <c r="B77" s="8" t="s">
        <v>339</v>
      </c>
      <c r="C77" s="8" t="s">
        <v>246</v>
      </c>
      <c r="D77" s="8" t="s">
        <v>148</v>
      </c>
      <c r="E77" s="8" t="s">
        <v>340</v>
      </c>
      <c r="F77" s="8" t="s">
        <v>341</v>
      </c>
      <c r="G77" s="8" t="s">
        <v>342</v>
      </c>
    </row>
    <row r="78" customFormat="false" ht="15" hidden="false" customHeight="false" outlineLevel="0" collapsed="false">
      <c r="A78" s="14" t="s">
        <v>329</v>
      </c>
      <c r="B78" s="14" t="s">
        <v>343</v>
      </c>
      <c r="C78" s="14" t="s">
        <v>264</v>
      </c>
      <c r="D78" s="14" t="s">
        <v>344</v>
      </c>
      <c r="E78" s="14" t="s">
        <v>139</v>
      </c>
      <c r="F78" s="14" t="s">
        <v>345</v>
      </c>
      <c r="G78" s="14" t="s">
        <v>346</v>
      </c>
    </row>
    <row r="79" customFormat="false" ht="15" hidden="false" customHeight="false" outlineLevel="0" collapsed="false">
      <c r="A79" s="8" t="s">
        <v>329</v>
      </c>
      <c r="B79" s="8" t="s">
        <v>347</v>
      </c>
      <c r="C79" s="8" t="s">
        <v>264</v>
      </c>
      <c r="D79" s="8" t="s">
        <v>348</v>
      </c>
      <c r="E79" s="8" t="s">
        <v>349</v>
      </c>
      <c r="F79" s="8" t="s">
        <v>350</v>
      </c>
      <c r="G79" s="8" t="s">
        <v>351</v>
      </c>
    </row>
    <row r="80" customFormat="false" ht="15" hidden="false" customHeight="false" outlineLevel="0" collapsed="false">
      <c r="A80" s="14" t="s">
        <v>329</v>
      </c>
      <c r="B80" s="14" t="s">
        <v>352</v>
      </c>
      <c r="C80" s="14" t="s">
        <v>261</v>
      </c>
      <c r="D80" s="14" t="s">
        <v>139</v>
      </c>
      <c r="E80" s="14" t="s">
        <v>163</v>
      </c>
      <c r="F80" s="14" t="s">
        <v>353</v>
      </c>
      <c r="G80" s="14" t="s">
        <v>354</v>
      </c>
    </row>
    <row r="81" customFormat="false" ht="15" hidden="false" customHeight="false" outlineLevel="0" collapsed="false">
      <c r="A81" s="8" t="s">
        <v>329</v>
      </c>
      <c r="B81" s="8" t="s">
        <v>355</v>
      </c>
      <c r="C81" s="8" t="s">
        <v>252</v>
      </c>
      <c r="D81" s="8" t="s">
        <v>356</v>
      </c>
      <c r="E81" s="8" t="s">
        <v>154</v>
      </c>
      <c r="F81" s="8" t="s">
        <v>357</v>
      </c>
      <c r="G81" s="8" t="s">
        <v>358</v>
      </c>
    </row>
    <row r="82" customFormat="false" ht="15" hidden="false" customHeight="false" outlineLevel="0" collapsed="false">
      <c r="A82" s="14" t="s">
        <v>329</v>
      </c>
      <c r="B82" s="14" t="s">
        <v>359</v>
      </c>
      <c r="C82" s="14" t="s">
        <v>264</v>
      </c>
      <c r="D82" s="14" t="s">
        <v>153</v>
      </c>
      <c r="E82" s="14" t="s">
        <v>360</v>
      </c>
      <c r="F82" s="14" t="s">
        <v>361</v>
      </c>
      <c r="G82" s="14" t="s">
        <v>362</v>
      </c>
    </row>
    <row r="83" customFormat="false" ht="15" hidden="false" customHeight="false" outlineLevel="0" collapsed="false">
      <c r="A83" s="8" t="s">
        <v>329</v>
      </c>
      <c r="B83" s="8" t="s">
        <v>363</v>
      </c>
      <c r="C83" s="8" t="s">
        <v>264</v>
      </c>
      <c r="D83" s="8" t="s">
        <v>364</v>
      </c>
      <c r="E83" s="8" t="s">
        <v>153</v>
      </c>
      <c r="F83" s="8" t="s">
        <v>365</v>
      </c>
      <c r="G83" s="8" t="s">
        <v>366</v>
      </c>
    </row>
    <row r="84" customFormat="false" ht="15" hidden="false" customHeight="false" outlineLevel="0" collapsed="false">
      <c r="A84" s="14" t="s">
        <v>329</v>
      </c>
      <c r="B84" s="14" t="s">
        <v>367</v>
      </c>
      <c r="C84" s="14" t="s">
        <v>264</v>
      </c>
      <c r="D84" s="14" t="s">
        <v>368</v>
      </c>
      <c r="E84" s="14" t="s">
        <v>156</v>
      </c>
      <c r="F84" s="14" t="s">
        <v>369</v>
      </c>
      <c r="G84" s="14" t="s">
        <v>358</v>
      </c>
    </row>
    <row r="85" customFormat="false" ht="15" hidden="false" customHeight="false" outlineLevel="0" collapsed="false">
      <c r="A85" s="8" t="s">
        <v>329</v>
      </c>
      <c r="B85" s="8" t="s">
        <v>370</v>
      </c>
      <c r="C85" s="8" t="s">
        <v>252</v>
      </c>
      <c r="D85" s="8" t="s">
        <v>371</v>
      </c>
      <c r="E85" s="8" t="s">
        <v>163</v>
      </c>
      <c r="F85" s="8" t="s">
        <v>372</v>
      </c>
      <c r="G85" s="8" t="s">
        <v>373</v>
      </c>
    </row>
    <row r="86" customFormat="false" ht="15" hidden="false" customHeight="false" outlineLevel="0" collapsed="false">
      <c r="A86" s="14" t="s">
        <v>329</v>
      </c>
      <c r="B86" s="14" t="s">
        <v>374</v>
      </c>
      <c r="C86" s="14" t="s">
        <v>264</v>
      </c>
      <c r="D86" s="14" t="s">
        <v>375</v>
      </c>
      <c r="E86" s="14" t="s">
        <v>376</v>
      </c>
      <c r="F86" s="14" t="s">
        <v>377</v>
      </c>
      <c r="G86" s="14" t="s">
        <v>378</v>
      </c>
    </row>
    <row r="87" customFormat="false" ht="15" hidden="false" customHeight="false" outlineLevel="0" collapsed="false">
      <c r="A87" s="8" t="s">
        <v>329</v>
      </c>
      <c r="B87" s="8" t="s">
        <v>379</v>
      </c>
      <c r="C87" s="8" t="s">
        <v>264</v>
      </c>
      <c r="D87" s="8" t="s">
        <v>380</v>
      </c>
      <c r="E87" s="8" t="s">
        <v>332</v>
      </c>
      <c r="F87" s="8" t="s">
        <v>381</v>
      </c>
      <c r="G87" s="8" t="s">
        <v>382</v>
      </c>
    </row>
    <row r="88" customFormat="false" ht="15" hidden="false" customHeight="false" outlineLevel="0" collapsed="false">
      <c r="A88" s="14" t="s">
        <v>329</v>
      </c>
      <c r="B88" s="14" t="s">
        <v>383</v>
      </c>
      <c r="C88" s="14" t="s">
        <v>258</v>
      </c>
      <c r="D88" s="14" t="s">
        <v>384</v>
      </c>
      <c r="E88" s="14" t="s">
        <v>385</v>
      </c>
      <c r="F88" s="14" t="s">
        <v>386</v>
      </c>
      <c r="G88" s="14" t="s">
        <v>387</v>
      </c>
    </row>
    <row r="89" customFormat="false" ht="15" hidden="false" customHeight="false" outlineLevel="0" collapsed="false">
      <c r="A89" s="8" t="s">
        <v>329</v>
      </c>
      <c r="B89" s="8" t="s">
        <v>388</v>
      </c>
      <c r="C89" s="8" t="s">
        <v>252</v>
      </c>
      <c r="D89" s="8" t="s">
        <v>389</v>
      </c>
      <c r="E89" s="8" t="s">
        <v>390</v>
      </c>
      <c r="F89" s="8" t="s">
        <v>391</v>
      </c>
      <c r="G89" s="8" t="s">
        <v>392</v>
      </c>
    </row>
    <row r="90" customFormat="false" ht="15" hidden="false" customHeight="false" outlineLevel="0" collapsed="false">
      <c r="A90" s="14" t="s">
        <v>329</v>
      </c>
      <c r="B90" s="14" t="s">
        <v>393</v>
      </c>
      <c r="C90" s="14" t="s">
        <v>264</v>
      </c>
      <c r="D90" s="14" t="s">
        <v>394</v>
      </c>
      <c r="E90" s="14" t="s">
        <v>167</v>
      </c>
      <c r="F90" s="14" t="s">
        <v>395</v>
      </c>
      <c r="G90" s="14" t="s">
        <v>396</v>
      </c>
    </row>
    <row r="91" customFormat="false" ht="15" hidden="false" customHeight="false" outlineLevel="0" collapsed="false">
      <c r="A91" s="8" t="s">
        <v>329</v>
      </c>
      <c r="B91" s="8" t="s">
        <v>397</v>
      </c>
      <c r="C91" s="8" t="s">
        <v>398</v>
      </c>
      <c r="D91" s="8" t="s">
        <v>399</v>
      </c>
      <c r="E91" s="8" t="s">
        <v>400</v>
      </c>
      <c r="F91" s="8" t="s">
        <v>401</v>
      </c>
      <c r="G91" s="8" t="s">
        <v>378</v>
      </c>
    </row>
    <row r="92" customFormat="false" ht="15" hidden="false" customHeight="false" outlineLevel="0" collapsed="false">
      <c r="A92" s="14" t="s">
        <v>329</v>
      </c>
      <c r="B92" s="14" t="s">
        <v>402</v>
      </c>
      <c r="C92" s="14" t="s">
        <v>252</v>
      </c>
      <c r="D92" s="14" t="s">
        <v>403</v>
      </c>
      <c r="E92" s="14" t="s">
        <v>340</v>
      </c>
      <c r="F92" s="14" t="s">
        <v>404</v>
      </c>
      <c r="G92" s="14" t="s">
        <v>405</v>
      </c>
    </row>
    <row r="93" customFormat="false" ht="15" hidden="false" customHeight="false" outlineLevel="0" collapsed="false">
      <c r="A93" s="8" t="s">
        <v>329</v>
      </c>
      <c r="B93" s="8" t="s">
        <v>406</v>
      </c>
      <c r="C93" s="8" t="s">
        <v>407</v>
      </c>
      <c r="D93" s="8" t="s">
        <v>408</v>
      </c>
      <c r="E93" s="8" t="s">
        <v>356</v>
      </c>
      <c r="F93" s="8" t="s">
        <v>409</v>
      </c>
      <c r="G93" s="8" t="s">
        <v>410</v>
      </c>
    </row>
    <row r="94" customFormat="false" ht="15" hidden="false" customHeight="false" outlineLevel="0" collapsed="false">
      <c r="A94" s="14" t="s">
        <v>329</v>
      </c>
      <c r="B94" s="14" t="s">
        <v>411</v>
      </c>
      <c r="C94" s="14" t="s">
        <v>246</v>
      </c>
      <c r="D94" s="14" t="s">
        <v>150</v>
      </c>
      <c r="E94" s="14" t="s">
        <v>156</v>
      </c>
      <c r="F94" s="14" t="s">
        <v>412</v>
      </c>
      <c r="G94" s="14" t="s">
        <v>413</v>
      </c>
    </row>
    <row r="95" customFormat="false" ht="15" hidden="false" customHeight="false" outlineLevel="0" collapsed="false">
      <c r="A95" s="8" t="s">
        <v>329</v>
      </c>
      <c r="B95" s="8" t="s">
        <v>414</v>
      </c>
      <c r="C95" s="8" t="s">
        <v>415</v>
      </c>
      <c r="D95" s="8" t="s">
        <v>416</v>
      </c>
      <c r="E95" s="8" t="s">
        <v>417</v>
      </c>
      <c r="F95" s="8" t="s">
        <v>418</v>
      </c>
      <c r="G95" s="8" t="s">
        <v>382</v>
      </c>
    </row>
    <row r="96" customFormat="false" ht="15" hidden="false" customHeight="false" outlineLevel="0" collapsed="false">
      <c r="A96" s="14" t="s">
        <v>329</v>
      </c>
      <c r="B96" s="14" t="s">
        <v>419</v>
      </c>
      <c r="C96" s="14" t="s">
        <v>264</v>
      </c>
      <c r="D96" s="14" t="s">
        <v>340</v>
      </c>
      <c r="E96" s="14" t="s">
        <v>139</v>
      </c>
      <c r="F96" s="14" t="s">
        <v>420</v>
      </c>
      <c r="G96" s="14" t="s">
        <v>421</v>
      </c>
    </row>
    <row r="97" customFormat="false" ht="15" hidden="false" customHeight="false" outlineLevel="0" collapsed="false">
      <c r="A97" s="8" t="s">
        <v>329</v>
      </c>
      <c r="B97" s="8" t="s">
        <v>422</v>
      </c>
      <c r="C97" s="8" t="s">
        <v>264</v>
      </c>
      <c r="D97" s="8" t="s">
        <v>423</v>
      </c>
      <c r="E97" s="8" t="s">
        <v>356</v>
      </c>
      <c r="F97" s="8" t="s">
        <v>424</v>
      </c>
      <c r="G97" s="8" t="s">
        <v>410</v>
      </c>
    </row>
    <row r="98" customFormat="false" ht="15" hidden="false" customHeight="false" outlineLevel="0" collapsed="false">
      <c r="A98" s="14" t="s">
        <v>329</v>
      </c>
      <c r="B98" s="14" t="s">
        <v>425</v>
      </c>
      <c r="C98" s="14" t="s">
        <v>261</v>
      </c>
      <c r="D98" s="14" t="s">
        <v>426</v>
      </c>
      <c r="E98" s="14" t="s">
        <v>427</v>
      </c>
      <c r="F98" s="14" t="s">
        <v>428</v>
      </c>
      <c r="G98" s="14" t="s">
        <v>429</v>
      </c>
    </row>
    <row r="99" customFormat="false" ht="15" hidden="false" customHeight="false" outlineLevel="0" collapsed="false">
      <c r="A99" s="8" t="s">
        <v>329</v>
      </c>
      <c r="B99" s="8" t="s">
        <v>430</v>
      </c>
      <c r="C99" s="8" t="s">
        <v>261</v>
      </c>
      <c r="D99" s="8" t="s">
        <v>431</v>
      </c>
      <c r="E99" s="8" t="s">
        <v>332</v>
      </c>
      <c r="F99" s="8" t="s">
        <v>432</v>
      </c>
      <c r="G99" s="8" t="s">
        <v>433</v>
      </c>
    </row>
    <row r="100" customFormat="false" ht="15" hidden="false" customHeight="false" outlineLevel="0" collapsed="false">
      <c r="A100" s="14" t="s">
        <v>434</v>
      </c>
      <c r="B100" s="14" t="s">
        <v>435</v>
      </c>
      <c r="C100" s="14" t="s">
        <v>258</v>
      </c>
      <c r="D100" s="14" t="s">
        <v>168</v>
      </c>
      <c r="E100" s="14" t="s">
        <v>139</v>
      </c>
      <c r="F100" s="14" t="s">
        <v>436</v>
      </c>
      <c r="G100" s="14" t="s">
        <v>437</v>
      </c>
    </row>
    <row r="101" customFormat="false" ht="15" hidden="false" customHeight="false" outlineLevel="0" collapsed="false">
      <c r="A101" s="8" t="s">
        <v>434</v>
      </c>
      <c r="B101" s="8" t="s">
        <v>438</v>
      </c>
      <c r="C101" s="8" t="s">
        <v>252</v>
      </c>
      <c r="D101" s="8" t="s">
        <v>423</v>
      </c>
      <c r="E101" s="8" t="s">
        <v>356</v>
      </c>
      <c r="F101" s="8" t="s">
        <v>439</v>
      </c>
      <c r="G101" s="8" t="s">
        <v>440</v>
      </c>
    </row>
    <row r="102" customFormat="false" ht="15" hidden="false" customHeight="false" outlineLevel="0" collapsed="false">
      <c r="A102" s="14" t="s">
        <v>434</v>
      </c>
      <c r="B102" s="14" t="s">
        <v>441</v>
      </c>
      <c r="C102" s="14" t="s">
        <v>398</v>
      </c>
      <c r="D102" s="14" t="s">
        <v>139</v>
      </c>
      <c r="E102" s="14" t="s">
        <v>417</v>
      </c>
      <c r="F102" s="14" t="s">
        <v>442</v>
      </c>
      <c r="G102" s="14" t="s">
        <v>443</v>
      </c>
    </row>
    <row r="103" customFormat="false" ht="15" hidden="false" customHeight="false" outlineLevel="0" collapsed="false">
      <c r="A103" s="8" t="s">
        <v>434</v>
      </c>
      <c r="B103" s="8" t="s">
        <v>444</v>
      </c>
      <c r="C103" s="8" t="s">
        <v>264</v>
      </c>
      <c r="D103" s="8" t="s">
        <v>426</v>
      </c>
      <c r="E103" s="8" t="s">
        <v>151</v>
      </c>
      <c r="F103" s="8" t="s">
        <v>445</v>
      </c>
      <c r="G103" s="8" t="s">
        <v>446</v>
      </c>
    </row>
    <row r="104" customFormat="false" ht="15" hidden="false" customHeight="false" outlineLevel="0" collapsed="false">
      <c r="A104" s="14" t="s">
        <v>434</v>
      </c>
      <c r="B104" s="14" t="s">
        <v>447</v>
      </c>
      <c r="C104" s="14" t="s">
        <v>264</v>
      </c>
      <c r="D104" s="14" t="s">
        <v>168</v>
      </c>
      <c r="E104" s="14" t="s">
        <v>153</v>
      </c>
      <c r="F104" s="14" t="s">
        <v>448</v>
      </c>
      <c r="G104" s="14" t="s">
        <v>449</v>
      </c>
    </row>
    <row r="105" customFormat="false" ht="15" hidden="false" customHeight="false" outlineLevel="0" collapsed="false">
      <c r="A105" s="8" t="s">
        <v>434</v>
      </c>
      <c r="B105" s="8" t="s">
        <v>450</v>
      </c>
      <c r="C105" s="8" t="s">
        <v>252</v>
      </c>
      <c r="D105" s="8" t="s">
        <v>356</v>
      </c>
      <c r="E105" s="8" t="s">
        <v>139</v>
      </c>
      <c r="F105" s="8" t="s">
        <v>451</v>
      </c>
      <c r="G105" s="8" t="s">
        <v>437</v>
      </c>
    </row>
    <row r="106" customFormat="false" ht="15" hidden="false" customHeight="false" outlineLevel="0" collapsed="false">
      <c r="A106" s="14" t="s">
        <v>434</v>
      </c>
      <c r="B106" s="14" t="s">
        <v>452</v>
      </c>
      <c r="C106" s="14" t="s">
        <v>258</v>
      </c>
      <c r="D106" s="14" t="s">
        <v>376</v>
      </c>
      <c r="E106" s="14" t="s">
        <v>139</v>
      </c>
      <c r="F106" s="14" t="s">
        <v>453</v>
      </c>
      <c r="G106" s="14" t="s">
        <v>437</v>
      </c>
    </row>
    <row r="107" customFormat="false" ht="15" hidden="false" customHeight="false" outlineLevel="0" collapsed="false">
      <c r="A107" s="8" t="s">
        <v>434</v>
      </c>
      <c r="B107" s="8" t="s">
        <v>454</v>
      </c>
      <c r="C107" s="8" t="s">
        <v>264</v>
      </c>
      <c r="D107" s="8" t="s">
        <v>150</v>
      </c>
      <c r="E107" s="8" t="s">
        <v>455</v>
      </c>
      <c r="F107" s="8" t="s">
        <v>456</v>
      </c>
      <c r="G107" s="8" t="s">
        <v>457</v>
      </c>
    </row>
    <row r="108" customFormat="false" ht="15" hidden="false" customHeight="false" outlineLevel="0" collapsed="false">
      <c r="A108" s="14" t="s">
        <v>434</v>
      </c>
      <c r="B108" s="14" t="s">
        <v>458</v>
      </c>
      <c r="C108" s="14" t="s">
        <v>249</v>
      </c>
      <c r="D108" s="14" t="s">
        <v>459</v>
      </c>
      <c r="E108" s="14" t="s">
        <v>460</v>
      </c>
      <c r="F108" s="14" t="s">
        <v>461</v>
      </c>
      <c r="G108" s="14" t="s">
        <v>462</v>
      </c>
    </row>
    <row r="109" customFormat="false" ht="15" hidden="false" customHeight="false" outlineLevel="0" collapsed="false">
      <c r="A109" s="8" t="s">
        <v>434</v>
      </c>
      <c r="B109" s="8" t="s">
        <v>463</v>
      </c>
      <c r="C109" s="8" t="s">
        <v>261</v>
      </c>
      <c r="D109" s="8" t="s">
        <v>161</v>
      </c>
      <c r="E109" s="8" t="s">
        <v>460</v>
      </c>
      <c r="F109" s="8" t="s">
        <v>464</v>
      </c>
      <c r="G109" s="8" t="s">
        <v>462</v>
      </c>
    </row>
    <row r="110" customFormat="false" ht="15" hidden="false" customHeight="false" outlineLevel="0" collapsed="false">
      <c r="A110" s="14" t="s">
        <v>434</v>
      </c>
      <c r="B110" s="14" t="s">
        <v>465</v>
      </c>
      <c r="C110" s="14" t="s">
        <v>398</v>
      </c>
      <c r="D110" s="14" t="s">
        <v>466</v>
      </c>
      <c r="E110" s="14" t="s">
        <v>356</v>
      </c>
      <c r="F110" s="14" t="s">
        <v>467</v>
      </c>
      <c r="G110" s="14" t="s">
        <v>440</v>
      </c>
    </row>
    <row r="111" customFormat="false" ht="15" hidden="false" customHeight="false" outlineLevel="0" collapsed="false">
      <c r="A111" s="8" t="s">
        <v>434</v>
      </c>
      <c r="B111" s="8" t="s">
        <v>468</v>
      </c>
      <c r="C111" s="8" t="s">
        <v>264</v>
      </c>
      <c r="D111" s="8" t="s">
        <v>163</v>
      </c>
      <c r="E111" s="8" t="s">
        <v>145</v>
      </c>
      <c r="F111" s="8" t="s">
        <v>469</v>
      </c>
      <c r="G111" s="8" t="s">
        <v>470</v>
      </c>
    </row>
    <row r="112" customFormat="false" ht="15" hidden="false" customHeight="false" outlineLevel="0" collapsed="false">
      <c r="A112" s="14" t="s">
        <v>434</v>
      </c>
      <c r="B112" s="14" t="s">
        <v>471</v>
      </c>
      <c r="C112" s="14" t="s">
        <v>264</v>
      </c>
      <c r="D112" s="14" t="s">
        <v>149</v>
      </c>
      <c r="E112" s="14" t="s">
        <v>150</v>
      </c>
      <c r="F112" s="14" t="s">
        <v>472</v>
      </c>
      <c r="G112" s="14" t="s">
        <v>473</v>
      </c>
    </row>
    <row r="113" customFormat="false" ht="15" hidden="false" customHeight="false" outlineLevel="0" collapsed="false">
      <c r="A113" s="8" t="s">
        <v>434</v>
      </c>
      <c r="B113" s="8" t="s">
        <v>352</v>
      </c>
      <c r="C113" s="8" t="s">
        <v>261</v>
      </c>
      <c r="D113" s="8" t="s">
        <v>139</v>
      </c>
      <c r="E113" s="8" t="s">
        <v>163</v>
      </c>
      <c r="F113" s="8" t="s">
        <v>353</v>
      </c>
      <c r="G113" s="8" t="s">
        <v>440</v>
      </c>
    </row>
    <row r="114" customFormat="false" ht="15" hidden="false" customHeight="false" outlineLevel="0" collapsed="false">
      <c r="A114" s="14" t="s">
        <v>434</v>
      </c>
      <c r="B114" s="14" t="s">
        <v>474</v>
      </c>
      <c r="C114" s="14" t="s">
        <v>246</v>
      </c>
      <c r="D114" s="14" t="s">
        <v>475</v>
      </c>
      <c r="E114" s="14" t="s">
        <v>427</v>
      </c>
      <c r="F114" s="14" t="s">
        <v>476</v>
      </c>
      <c r="G114" s="14" t="s">
        <v>440</v>
      </c>
    </row>
    <row r="115" customFormat="false" ht="15" hidden="false" customHeight="false" outlineLevel="0" collapsed="false">
      <c r="A115" s="8" t="s">
        <v>434</v>
      </c>
      <c r="B115" s="8" t="s">
        <v>477</v>
      </c>
      <c r="C115" s="8" t="s">
        <v>264</v>
      </c>
      <c r="D115" s="8" t="s">
        <v>478</v>
      </c>
      <c r="E115" s="8" t="s">
        <v>356</v>
      </c>
      <c r="F115" s="8" t="s">
        <v>479</v>
      </c>
      <c r="G115" s="8" t="s">
        <v>440</v>
      </c>
    </row>
    <row r="116" customFormat="false" ht="15" hidden="false" customHeight="false" outlineLevel="0" collapsed="false">
      <c r="A116" s="14" t="s">
        <v>434</v>
      </c>
      <c r="B116" s="14" t="s">
        <v>480</v>
      </c>
      <c r="C116" s="14" t="s">
        <v>249</v>
      </c>
      <c r="D116" s="14" t="s">
        <v>481</v>
      </c>
      <c r="E116" s="14" t="s">
        <v>482</v>
      </c>
      <c r="F116" s="14" t="s">
        <v>483</v>
      </c>
      <c r="G116" s="14" t="s">
        <v>443</v>
      </c>
    </row>
    <row r="117" customFormat="false" ht="15" hidden="false" customHeight="false" outlineLevel="0" collapsed="false">
      <c r="A117" s="8" t="s">
        <v>434</v>
      </c>
      <c r="B117" s="8" t="s">
        <v>484</v>
      </c>
      <c r="C117" s="8" t="s">
        <v>264</v>
      </c>
      <c r="D117" s="8" t="s">
        <v>167</v>
      </c>
      <c r="E117" s="8" t="s">
        <v>485</v>
      </c>
      <c r="F117" s="8" t="s">
        <v>486</v>
      </c>
      <c r="G117" s="8" t="s">
        <v>440</v>
      </c>
    </row>
    <row r="118" customFormat="false" ht="15" hidden="false" customHeight="false" outlineLevel="0" collapsed="false">
      <c r="A118" s="14" t="s">
        <v>434</v>
      </c>
      <c r="B118" s="14" t="s">
        <v>487</v>
      </c>
      <c r="C118" s="14" t="s">
        <v>398</v>
      </c>
      <c r="D118" s="14" t="s">
        <v>488</v>
      </c>
      <c r="E118" s="14" t="s">
        <v>489</v>
      </c>
      <c r="F118" s="14" t="s">
        <v>490</v>
      </c>
      <c r="G118" s="14" t="s">
        <v>473</v>
      </c>
    </row>
    <row r="119" customFormat="false" ht="15" hidden="false" customHeight="false" outlineLevel="0" collapsed="false">
      <c r="A119" s="8" t="s">
        <v>434</v>
      </c>
      <c r="B119" s="8" t="s">
        <v>491</v>
      </c>
      <c r="C119" s="8" t="s">
        <v>252</v>
      </c>
      <c r="D119" s="8" t="s">
        <v>169</v>
      </c>
      <c r="E119" s="8" t="s">
        <v>492</v>
      </c>
      <c r="F119" s="8" t="s">
        <v>493</v>
      </c>
      <c r="G119" s="8" t="s">
        <v>443</v>
      </c>
    </row>
    <row r="120" customFormat="false" ht="15" hidden="false" customHeight="false" outlineLevel="0" collapsed="false">
      <c r="A120" s="14" t="s">
        <v>434</v>
      </c>
      <c r="B120" s="14" t="s">
        <v>494</v>
      </c>
      <c r="C120" s="14" t="s">
        <v>264</v>
      </c>
      <c r="D120" s="14" t="s">
        <v>495</v>
      </c>
      <c r="E120" s="14" t="s">
        <v>489</v>
      </c>
      <c r="F120" s="14" t="s">
        <v>496</v>
      </c>
      <c r="G120" s="14" t="s">
        <v>449</v>
      </c>
    </row>
    <row r="121" customFormat="false" ht="15" hidden="false" customHeight="false" outlineLevel="0" collapsed="false">
      <c r="A121" s="8" t="s">
        <v>434</v>
      </c>
      <c r="B121" s="8" t="s">
        <v>411</v>
      </c>
      <c r="C121" s="8" t="s">
        <v>246</v>
      </c>
      <c r="D121" s="8" t="s">
        <v>150</v>
      </c>
      <c r="E121" s="8" t="s">
        <v>156</v>
      </c>
      <c r="F121" s="8" t="s">
        <v>412</v>
      </c>
      <c r="G121" s="8" t="s">
        <v>497</v>
      </c>
    </row>
    <row r="122" customFormat="false" ht="15" hidden="false" customHeight="false" outlineLevel="0" collapsed="false">
      <c r="A122" s="14" t="s">
        <v>434</v>
      </c>
      <c r="B122" s="14" t="s">
        <v>498</v>
      </c>
      <c r="C122" s="14" t="s">
        <v>249</v>
      </c>
      <c r="D122" s="14" t="s">
        <v>499</v>
      </c>
      <c r="E122" s="14" t="s">
        <v>500</v>
      </c>
      <c r="F122" s="14" t="s">
        <v>501</v>
      </c>
      <c r="G122" s="14" t="s">
        <v>502</v>
      </c>
    </row>
    <row r="123" customFormat="false" ht="15" hidden="false" customHeight="false" outlineLevel="0" collapsed="false">
      <c r="A123" s="8" t="s">
        <v>434</v>
      </c>
      <c r="B123" s="8" t="s">
        <v>503</v>
      </c>
      <c r="C123" s="8" t="s">
        <v>261</v>
      </c>
      <c r="D123" s="8" t="s">
        <v>504</v>
      </c>
      <c r="E123" s="8" t="s">
        <v>505</v>
      </c>
      <c r="F123" s="8" t="s">
        <v>506</v>
      </c>
      <c r="G123" s="8" t="s">
        <v>507</v>
      </c>
    </row>
    <row r="124" customFormat="false" ht="15" hidden="false" customHeight="false" outlineLevel="0" collapsed="false">
      <c r="A124" s="14" t="s">
        <v>434</v>
      </c>
      <c r="B124" s="14" t="s">
        <v>508</v>
      </c>
      <c r="C124" s="14" t="s">
        <v>264</v>
      </c>
      <c r="D124" s="14" t="s">
        <v>356</v>
      </c>
      <c r="E124" s="14" t="s">
        <v>509</v>
      </c>
      <c r="F124" s="14" t="s">
        <v>510</v>
      </c>
      <c r="G124" s="14" t="s">
        <v>511</v>
      </c>
    </row>
    <row r="125" customFormat="false" ht="15" hidden="false" customHeight="false" outlineLevel="0" collapsed="false">
      <c r="A125" s="8" t="s">
        <v>512</v>
      </c>
      <c r="B125" s="8" t="s">
        <v>513</v>
      </c>
      <c r="C125" s="8" t="s">
        <v>514</v>
      </c>
      <c r="D125" s="8" t="s">
        <v>515</v>
      </c>
      <c r="E125" s="8" t="s">
        <v>516</v>
      </c>
      <c r="F125" s="8" t="s">
        <v>517</v>
      </c>
      <c r="G125" s="8" t="s">
        <v>518</v>
      </c>
    </row>
    <row r="126" customFormat="false" ht="15" hidden="false" customHeight="false" outlineLevel="0" collapsed="false">
      <c r="A126" s="14" t="s">
        <v>512</v>
      </c>
      <c r="B126" s="14" t="s">
        <v>519</v>
      </c>
      <c r="C126" s="14" t="s">
        <v>264</v>
      </c>
      <c r="D126" s="14" t="s">
        <v>520</v>
      </c>
      <c r="E126" s="14" t="s">
        <v>521</v>
      </c>
      <c r="F126" s="14" t="s">
        <v>522</v>
      </c>
      <c r="G126" s="14" t="s">
        <v>523</v>
      </c>
    </row>
    <row r="127" customFormat="false" ht="15" hidden="false" customHeight="false" outlineLevel="0" collapsed="false">
      <c r="A127" s="8" t="s">
        <v>512</v>
      </c>
      <c r="B127" s="8" t="s">
        <v>524</v>
      </c>
      <c r="C127" s="8" t="s">
        <v>264</v>
      </c>
      <c r="D127" s="8" t="s">
        <v>525</v>
      </c>
      <c r="E127" s="8" t="s">
        <v>526</v>
      </c>
      <c r="F127" s="8" t="s">
        <v>527</v>
      </c>
      <c r="G127" s="8" t="s">
        <v>523</v>
      </c>
    </row>
    <row r="128" customFormat="false" ht="15" hidden="false" customHeight="false" outlineLevel="0" collapsed="false">
      <c r="A128" s="14" t="s">
        <v>512</v>
      </c>
      <c r="B128" s="14" t="s">
        <v>528</v>
      </c>
      <c r="C128" s="14" t="s">
        <v>258</v>
      </c>
      <c r="D128" s="14" t="s">
        <v>529</v>
      </c>
      <c r="E128" s="14" t="s">
        <v>356</v>
      </c>
      <c r="F128" s="14" t="s">
        <v>530</v>
      </c>
      <c r="G128" s="14" t="s">
        <v>523</v>
      </c>
    </row>
    <row r="129" customFormat="false" ht="15" hidden="false" customHeight="false" outlineLevel="0" collapsed="false">
      <c r="A129" s="8" t="s">
        <v>512</v>
      </c>
      <c r="B129" s="8" t="s">
        <v>531</v>
      </c>
      <c r="C129" s="8" t="s">
        <v>246</v>
      </c>
      <c r="D129" s="8" t="s">
        <v>532</v>
      </c>
      <c r="E129" s="8" t="s">
        <v>533</v>
      </c>
      <c r="F129" s="8" t="s">
        <v>534</v>
      </c>
      <c r="G129" s="8" t="s">
        <v>518</v>
      </c>
    </row>
    <row r="130" customFormat="false" ht="15" hidden="false" customHeight="false" outlineLevel="0" collapsed="false">
      <c r="A130" s="14" t="s">
        <v>512</v>
      </c>
      <c r="B130" s="14" t="s">
        <v>535</v>
      </c>
      <c r="C130" s="14" t="s">
        <v>407</v>
      </c>
      <c r="D130" s="14" t="s">
        <v>536</v>
      </c>
      <c r="E130" s="14" t="s">
        <v>332</v>
      </c>
      <c r="F130" s="14" t="s">
        <v>537</v>
      </c>
      <c r="G130" s="14" t="s">
        <v>538</v>
      </c>
    </row>
    <row r="131" customFormat="false" ht="15" hidden="false" customHeight="false" outlineLevel="0" collapsed="false">
      <c r="A131" s="8" t="s">
        <v>512</v>
      </c>
      <c r="B131" s="8" t="s">
        <v>539</v>
      </c>
      <c r="C131" s="8" t="s">
        <v>252</v>
      </c>
      <c r="D131" s="8" t="s">
        <v>417</v>
      </c>
      <c r="E131" s="8" t="s">
        <v>540</v>
      </c>
      <c r="F131" s="8" t="s">
        <v>541</v>
      </c>
      <c r="G131" s="8" t="s">
        <v>518</v>
      </c>
    </row>
    <row r="132" customFormat="false" ht="15" hidden="false" customHeight="false" outlineLevel="0" collapsed="false">
      <c r="A132" s="14" t="s">
        <v>512</v>
      </c>
      <c r="B132" s="14" t="s">
        <v>542</v>
      </c>
      <c r="C132" s="14" t="s">
        <v>252</v>
      </c>
      <c r="D132" s="14" t="s">
        <v>543</v>
      </c>
      <c r="E132" s="14" t="s">
        <v>150</v>
      </c>
      <c r="F132" s="14" t="s">
        <v>544</v>
      </c>
      <c r="G132" s="14" t="s">
        <v>518</v>
      </c>
    </row>
    <row r="133" customFormat="false" ht="15" hidden="false" customHeight="false" outlineLevel="0" collapsed="false">
      <c r="A133" s="8" t="s">
        <v>512</v>
      </c>
      <c r="B133" s="8" t="s">
        <v>545</v>
      </c>
      <c r="C133" s="8" t="s">
        <v>258</v>
      </c>
      <c r="D133" s="8" t="s">
        <v>546</v>
      </c>
      <c r="E133" s="8" t="s">
        <v>139</v>
      </c>
      <c r="F133" s="8" t="s">
        <v>547</v>
      </c>
      <c r="G133" s="8" t="s">
        <v>518</v>
      </c>
    </row>
    <row r="134" customFormat="false" ht="15" hidden="false" customHeight="false" outlineLevel="0" collapsed="false">
      <c r="A134" s="14" t="s">
        <v>512</v>
      </c>
      <c r="B134" s="14" t="s">
        <v>548</v>
      </c>
      <c r="C134" s="14" t="s">
        <v>246</v>
      </c>
      <c r="D134" s="14" t="s">
        <v>549</v>
      </c>
      <c r="E134" s="14" t="s">
        <v>516</v>
      </c>
      <c r="F134" s="14" t="s">
        <v>550</v>
      </c>
      <c r="G134" s="14" t="s">
        <v>523</v>
      </c>
    </row>
    <row r="135" customFormat="false" ht="15" hidden="false" customHeight="false" outlineLevel="0" collapsed="false">
      <c r="A135" s="8" t="s">
        <v>512</v>
      </c>
      <c r="B135" s="8" t="s">
        <v>551</v>
      </c>
      <c r="C135" s="8" t="s">
        <v>552</v>
      </c>
      <c r="D135" s="8" t="s">
        <v>553</v>
      </c>
      <c r="E135" s="8" t="s">
        <v>167</v>
      </c>
      <c r="F135" s="8" t="s">
        <v>554</v>
      </c>
      <c r="G135" s="8" t="s">
        <v>518</v>
      </c>
    </row>
    <row r="136" customFormat="false" ht="15" hidden="false" customHeight="false" outlineLevel="0" collapsed="false">
      <c r="A136" s="14" t="s">
        <v>512</v>
      </c>
      <c r="B136" s="14" t="s">
        <v>555</v>
      </c>
      <c r="C136" s="14" t="s">
        <v>252</v>
      </c>
      <c r="D136" s="14" t="s">
        <v>556</v>
      </c>
      <c r="E136" s="14" t="s">
        <v>557</v>
      </c>
      <c r="F136" s="14" t="s">
        <v>558</v>
      </c>
      <c r="G136" s="14" t="s">
        <v>559</v>
      </c>
    </row>
    <row r="137" customFormat="false" ht="15" hidden="false" customHeight="false" outlineLevel="0" collapsed="false">
      <c r="A137" s="8" t="s">
        <v>512</v>
      </c>
      <c r="B137" s="8" t="s">
        <v>560</v>
      </c>
      <c r="C137" s="8" t="s">
        <v>258</v>
      </c>
      <c r="D137" s="8" t="s">
        <v>561</v>
      </c>
      <c r="E137" s="8" t="s">
        <v>147</v>
      </c>
      <c r="F137" s="8" t="s">
        <v>562</v>
      </c>
      <c r="G137" s="8" t="s">
        <v>518</v>
      </c>
    </row>
    <row r="138" customFormat="false" ht="15" hidden="false" customHeight="false" outlineLevel="0" collapsed="false">
      <c r="A138" s="14" t="s">
        <v>512</v>
      </c>
      <c r="B138" s="14" t="s">
        <v>563</v>
      </c>
      <c r="C138" s="14" t="s">
        <v>246</v>
      </c>
      <c r="D138" s="14" t="s">
        <v>532</v>
      </c>
      <c r="E138" s="14" t="s">
        <v>564</v>
      </c>
      <c r="F138" s="14" t="s">
        <v>565</v>
      </c>
      <c r="G138" s="14" t="s">
        <v>523</v>
      </c>
    </row>
    <row r="139" customFormat="false" ht="15" hidden="false" customHeight="false" outlineLevel="0" collapsed="false">
      <c r="A139" s="8" t="s">
        <v>512</v>
      </c>
      <c r="B139" s="8" t="s">
        <v>566</v>
      </c>
      <c r="C139" s="8" t="s">
        <v>552</v>
      </c>
      <c r="D139" s="8" t="s">
        <v>567</v>
      </c>
      <c r="E139" s="8" t="s">
        <v>568</v>
      </c>
      <c r="F139" s="8" t="s">
        <v>569</v>
      </c>
      <c r="G139" s="8" t="s">
        <v>523</v>
      </c>
    </row>
    <row r="140" customFormat="false" ht="15" hidden="false" customHeight="false" outlineLevel="0" collapsed="false">
      <c r="A140" s="14" t="s">
        <v>570</v>
      </c>
      <c r="B140" s="14" t="s">
        <v>571</v>
      </c>
      <c r="C140" s="14" t="s">
        <v>246</v>
      </c>
      <c r="D140" s="14" t="s">
        <v>572</v>
      </c>
      <c r="E140" s="14" t="s">
        <v>573</v>
      </c>
      <c r="F140" s="14" t="s">
        <v>574</v>
      </c>
      <c r="G140" s="14" t="s">
        <v>575</v>
      </c>
    </row>
    <row r="141" customFormat="false" ht="15" hidden="false" customHeight="false" outlineLevel="0" collapsed="false">
      <c r="A141" s="8" t="s">
        <v>570</v>
      </c>
      <c r="B141" s="8" t="s">
        <v>576</v>
      </c>
      <c r="C141" s="8" t="s">
        <v>577</v>
      </c>
      <c r="D141" s="8" t="s">
        <v>578</v>
      </c>
      <c r="E141" s="8" t="s">
        <v>151</v>
      </c>
      <c r="F141" s="8" t="s">
        <v>579</v>
      </c>
      <c r="G141" s="8" t="s">
        <v>575</v>
      </c>
    </row>
    <row r="142" customFormat="false" ht="15" hidden="false" customHeight="false" outlineLevel="0" collapsed="false">
      <c r="A142" s="14" t="s">
        <v>570</v>
      </c>
      <c r="B142" s="14" t="s">
        <v>580</v>
      </c>
      <c r="C142" s="14" t="s">
        <v>246</v>
      </c>
      <c r="D142" s="14" t="s">
        <v>139</v>
      </c>
      <c r="E142" s="14" t="s">
        <v>167</v>
      </c>
      <c r="F142" s="14" t="s">
        <v>581</v>
      </c>
      <c r="G142" s="14" t="s">
        <v>575</v>
      </c>
    </row>
    <row r="143" customFormat="false" ht="15" hidden="false" customHeight="false" outlineLevel="0" collapsed="false">
      <c r="A143" s="8" t="s">
        <v>570</v>
      </c>
      <c r="B143" s="8" t="s">
        <v>582</v>
      </c>
      <c r="C143" s="8" t="s">
        <v>583</v>
      </c>
      <c r="D143" s="8" t="s">
        <v>584</v>
      </c>
      <c r="E143" s="8" t="s">
        <v>585</v>
      </c>
      <c r="F143" s="8" t="s">
        <v>586</v>
      </c>
      <c r="G143" s="8" t="s">
        <v>575</v>
      </c>
    </row>
    <row r="144" customFormat="false" ht="15" hidden="false" customHeight="false" outlineLevel="0" collapsed="false">
      <c r="A144" s="14" t="s">
        <v>570</v>
      </c>
      <c r="B144" s="14" t="s">
        <v>587</v>
      </c>
      <c r="C144" s="14" t="s">
        <v>588</v>
      </c>
      <c r="D144" s="14" t="s">
        <v>166</v>
      </c>
      <c r="E144" s="14" t="s">
        <v>356</v>
      </c>
      <c r="F144" s="14" t="s">
        <v>589</v>
      </c>
      <c r="G144" s="14" t="s">
        <v>575</v>
      </c>
    </row>
    <row r="145" customFormat="false" ht="15" hidden="false" customHeight="false" outlineLevel="0" collapsed="false">
      <c r="A145" s="8" t="s">
        <v>570</v>
      </c>
      <c r="B145" s="8" t="s">
        <v>590</v>
      </c>
      <c r="C145" s="8" t="s">
        <v>577</v>
      </c>
      <c r="D145" s="8" t="s">
        <v>591</v>
      </c>
      <c r="E145" s="8" t="s">
        <v>139</v>
      </c>
      <c r="F145" s="8" t="s">
        <v>592</v>
      </c>
      <c r="G145" s="8" t="s">
        <v>575</v>
      </c>
    </row>
    <row r="146" customFormat="false" ht="15" hidden="false" customHeight="false" outlineLevel="0" collapsed="false">
      <c r="A146" s="14" t="s">
        <v>570</v>
      </c>
      <c r="B146" s="14" t="s">
        <v>593</v>
      </c>
      <c r="C146" s="14" t="s">
        <v>588</v>
      </c>
      <c r="D146" s="14" t="s">
        <v>594</v>
      </c>
      <c r="E146" s="14" t="s">
        <v>516</v>
      </c>
      <c r="F146" s="14" t="s">
        <v>595</v>
      </c>
      <c r="G146" s="14" t="s">
        <v>575</v>
      </c>
    </row>
    <row r="147" customFormat="false" ht="15" hidden="false" customHeight="false" outlineLevel="0" collapsed="false">
      <c r="A147" s="8" t="s">
        <v>570</v>
      </c>
      <c r="B147" s="8" t="s">
        <v>596</v>
      </c>
      <c r="C147" s="8" t="s">
        <v>514</v>
      </c>
      <c r="D147" s="8" t="s">
        <v>597</v>
      </c>
      <c r="E147" s="8" t="s">
        <v>598</v>
      </c>
      <c r="F147" s="8" t="s">
        <v>599</v>
      </c>
      <c r="G147" s="8" t="s">
        <v>575</v>
      </c>
    </row>
    <row r="148" customFormat="false" ht="15" hidden="false" customHeight="false" outlineLevel="0" collapsed="false">
      <c r="A148" s="14" t="s">
        <v>600</v>
      </c>
      <c r="B148" s="14" t="s">
        <v>601</v>
      </c>
      <c r="C148" s="14" t="s">
        <v>252</v>
      </c>
      <c r="D148" s="14" t="s">
        <v>529</v>
      </c>
      <c r="E148" s="14" t="s">
        <v>356</v>
      </c>
      <c r="F148" s="14" t="s">
        <v>602</v>
      </c>
      <c r="G148" s="14" t="s">
        <v>575</v>
      </c>
    </row>
    <row r="149" customFormat="false" ht="15" hidden="false" customHeight="false" outlineLevel="0" collapsed="false">
      <c r="A149" s="8" t="s">
        <v>600</v>
      </c>
      <c r="B149" s="8" t="s">
        <v>603</v>
      </c>
      <c r="C149" s="8" t="s">
        <v>604</v>
      </c>
      <c r="D149" s="8" t="s">
        <v>605</v>
      </c>
      <c r="E149" s="8" t="s">
        <v>606</v>
      </c>
      <c r="F149" s="8" t="s">
        <v>607</v>
      </c>
      <c r="G149" s="8" t="s">
        <v>575</v>
      </c>
    </row>
    <row r="150" customFormat="false" ht="15" hidden="false" customHeight="false" outlineLevel="0" collapsed="false">
      <c r="A150" s="14" t="s">
        <v>600</v>
      </c>
      <c r="B150" s="14" t="s">
        <v>608</v>
      </c>
      <c r="C150" s="14" t="s">
        <v>252</v>
      </c>
      <c r="D150" s="14" t="s">
        <v>609</v>
      </c>
      <c r="E150" s="14" t="s">
        <v>610</v>
      </c>
      <c r="F150" s="14" t="s">
        <v>611</v>
      </c>
      <c r="G150" s="14" t="s">
        <v>575</v>
      </c>
    </row>
    <row r="151" customFormat="false" ht="15" hidden="false" customHeight="false" outlineLevel="0" collapsed="false">
      <c r="A151" s="8" t="s">
        <v>600</v>
      </c>
      <c r="B151" s="8" t="s">
        <v>612</v>
      </c>
      <c r="C151" s="8" t="s">
        <v>514</v>
      </c>
      <c r="D151" s="8" t="s">
        <v>153</v>
      </c>
      <c r="E151" s="8" t="s">
        <v>492</v>
      </c>
      <c r="F151" s="8" t="s">
        <v>613</v>
      </c>
      <c r="G151" s="8" t="s">
        <v>575</v>
      </c>
    </row>
    <row r="152" customFormat="false" ht="15" hidden="false" customHeight="false" outlineLevel="0" collapsed="false">
      <c r="A152" s="14" t="s">
        <v>600</v>
      </c>
      <c r="B152" s="14" t="s">
        <v>614</v>
      </c>
      <c r="C152" s="14" t="s">
        <v>615</v>
      </c>
      <c r="D152" s="14" t="s">
        <v>616</v>
      </c>
      <c r="E152" s="14" t="s">
        <v>161</v>
      </c>
      <c r="F152" s="14" t="s">
        <v>617</v>
      </c>
      <c r="G152" s="14" t="s">
        <v>575</v>
      </c>
    </row>
    <row r="153" customFormat="false" ht="15" hidden="false" customHeight="false" outlineLevel="0" collapsed="false">
      <c r="A153" s="8" t="s">
        <v>600</v>
      </c>
      <c r="B153" s="8" t="s">
        <v>618</v>
      </c>
      <c r="C153" s="8" t="s">
        <v>252</v>
      </c>
      <c r="D153" s="8" t="s">
        <v>619</v>
      </c>
      <c r="E153" s="8" t="s">
        <v>149</v>
      </c>
      <c r="F153" s="8" t="s">
        <v>620</v>
      </c>
      <c r="G153" s="8" t="s">
        <v>575</v>
      </c>
    </row>
    <row r="154" customFormat="false" ht="15" hidden="false" customHeight="false" outlineLevel="0" collapsed="false">
      <c r="A154" s="14" t="s">
        <v>600</v>
      </c>
      <c r="B154" s="14" t="s">
        <v>621</v>
      </c>
      <c r="C154" s="14" t="s">
        <v>604</v>
      </c>
      <c r="D154" s="14" t="s">
        <v>622</v>
      </c>
      <c r="E154" s="14" t="s">
        <v>163</v>
      </c>
      <c r="F154" s="14" t="s">
        <v>623</v>
      </c>
      <c r="G154" s="14" t="s">
        <v>575</v>
      </c>
    </row>
    <row r="155" customFormat="false" ht="15" hidden="false" customHeight="false" outlineLevel="0" collapsed="false">
      <c r="A155" s="8" t="s">
        <v>600</v>
      </c>
      <c r="B155" s="8" t="s">
        <v>624</v>
      </c>
      <c r="C155" s="8" t="s">
        <v>398</v>
      </c>
      <c r="D155" s="8" t="s">
        <v>625</v>
      </c>
      <c r="E155" s="8" t="s">
        <v>166</v>
      </c>
      <c r="F155" s="8" t="s">
        <v>626</v>
      </c>
      <c r="G155" s="8" t="s">
        <v>575</v>
      </c>
    </row>
    <row r="156" customFormat="false" ht="15" hidden="false" customHeight="false" outlineLevel="0" collapsed="false">
      <c r="A156" s="14" t="s">
        <v>627</v>
      </c>
      <c r="B156" s="14" t="s">
        <v>628</v>
      </c>
      <c r="C156" s="14" t="s">
        <v>261</v>
      </c>
      <c r="D156" s="14" t="s">
        <v>167</v>
      </c>
      <c r="E156" s="14" t="s">
        <v>629</v>
      </c>
      <c r="F156" s="14" t="s">
        <v>630</v>
      </c>
      <c r="G156" s="14" t="s">
        <v>575</v>
      </c>
    </row>
    <row r="157" customFormat="false" ht="15" hidden="false" customHeight="false" outlineLevel="0" collapsed="false">
      <c r="A157" s="8" t="s">
        <v>627</v>
      </c>
      <c r="B157" s="8" t="s">
        <v>631</v>
      </c>
      <c r="C157" s="8" t="s">
        <v>261</v>
      </c>
      <c r="D157" s="8" t="s">
        <v>632</v>
      </c>
      <c r="E157" s="8" t="s">
        <v>633</v>
      </c>
      <c r="F157" s="8" t="s">
        <v>634</v>
      </c>
      <c r="G157" s="8" t="s">
        <v>575</v>
      </c>
    </row>
    <row r="158" customFormat="false" ht="15" hidden="false" customHeight="false" outlineLevel="0" collapsed="false">
      <c r="A158" s="14" t="s">
        <v>627</v>
      </c>
      <c r="B158" s="14" t="s">
        <v>635</v>
      </c>
      <c r="C158" s="14" t="s">
        <v>407</v>
      </c>
      <c r="D158" s="14" t="s">
        <v>636</v>
      </c>
      <c r="E158" s="14" t="s">
        <v>637</v>
      </c>
      <c r="F158" s="14" t="s">
        <v>638</v>
      </c>
      <c r="G158" s="14" t="s">
        <v>575</v>
      </c>
    </row>
    <row r="159" customFormat="false" ht="15" hidden="false" customHeight="false" outlineLevel="0" collapsed="false">
      <c r="A159" s="8" t="s">
        <v>627</v>
      </c>
      <c r="B159" s="8" t="s">
        <v>639</v>
      </c>
      <c r="C159" s="8" t="s">
        <v>261</v>
      </c>
      <c r="D159" s="8" t="s">
        <v>625</v>
      </c>
      <c r="E159" s="8" t="s">
        <v>166</v>
      </c>
      <c r="F159" s="8" t="s">
        <v>640</v>
      </c>
      <c r="G159" s="8" t="s">
        <v>575</v>
      </c>
    </row>
    <row r="160" customFormat="false" ht="15" hidden="false" customHeight="false" outlineLevel="0" collapsed="false">
      <c r="A160" s="14" t="s">
        <v>627</v>
      </c>
      <c r="B160" s="14" t="s">
        <v>641</v>
      </c>
      <c r="C160" s="14" t="s">
        <v>407</v>
      </c>
      <c r="D160" s="14" t="s">
        <v>529</v>
      </c>
      <c r="E160" s="14" t="s">
        <v>356</v>
      </c>
      <c r="F160" s="14" t="s">
        <v>642</v>
      </c>
      <c r="G160" s="14" t="s">
        <v>575</v>
      </c>
    </row>
    <row r="161" customFormat="false" ht="15" hidden="false" customHeight="false" outlineLevel="0" collapsed="false">
      <c r="A161" s="8" t="s">
        <v>627</v>
      </c>
      <c r="B161" s="8" t="s">
        <v>643</v>
      </c>
      <c r="C161" s="8" t="s">
        <v>583</v>
      </c>
      <c r="D161" s="8" t="s">
        <v>573</v>
      </c>
      <c r="E161" s="8" t="s">
        <v>532</v>
      </c>
      <c r="F161" s="8" t="s">
        <v>644</v>
      </c>
      <c r="G161" s="8" t="s">
        <v>575</v>
      </c>
    </row>
    <row r="162" customFormat="false" ht="15" hidden="false" customHeight="false" outlineLevel="0" collapsed="false">
      <c r="A162" s="14" t="s">
        <v>627</v>
      </c>
      <c r="B162" s="14" t="s">
        <v>645</v>
      </c>
      <c r="C162" s="14" t="s">
        <v>261</v>
      </c>
      <c r="D162" s="14" t="s">
        <v>340</v>
      </c>
      <c r="E162" s="14" t="s">
        <v>349</v>
      </c>
      <c r="F162" s="14" t="s">
        <v>646</v>
      </c>
      <c r="G162" s="14" t="s">
        <v>575</v>
      </c>
    </row>
    <row r="163" customFormat="false" ht="15" hidden="false" customHeight="false" outlineLevel="0" collapsed="false">
      <c r="A163" s="8" t="s">
        <v>627</v>
      </c>
      <c r="B163" s="8" t="s">
        <v>647</v>
      </c>
      <c r="C163" s="8" t="s">
        <v>407</v>
      </c>
      <c r="D163" s="8" t="s">
        <v>648</v>
      </c>
      <c r="E163" s="8" t="s">
        <v>649</v>
      </c>
      <c r="F163" s="8" t="s">
        <v>650</v>
      </c>
      <c r="G163" s="8" t="s">
        <v>575</v>
      </c>
    </row>
    <row r="164" customFormat="false" ht="15" hidden="false" customHeight="false" outlineLevel="0" collapsed="false">
      <c r="A164" s="14" t="s">
        <v>651</v>
      </c>
      <c r="B164" s="14" t="s">
        <v>652</v>
      </c>
      <c r="C164" s="14" t="s">
        <v>653</v>
      </c>
      <c r="D164" s="14" t="s">
        <v>654</v>
      </c>
      <c r="E164" s="14" t="s">
        <v>655</v>
      </c>
      <c r="F164" s="14" t="s">
        <v>656</v>
      </c>
      <c r="G164" s="14" t="s">
        <v>575</v>
      </c>
    </row>
    <row r="165" customFormat="false" ht="15" hidden="false" customHeight="false" outlineLevel="0" collapsed="false">
      <c r="A165" s="8" t="s">
        <v>651</v>
      </c>
      <c r="B165" s="8" t="s">
        <v>545</v>
      </c>
      <c r="C165" s="8" t="s">
        <v>258</v>
      </c>
      <c r="D165" s="8" t="s">
        <v>546</v>
      </c>
      <c r="E165" s="8" t="s">
        <v>139</v>
      </c>
      <c r="F165" s="8" t="s">
        <v>547</v>
      </c>
      <c r="G165" s="8" t="s">
        <v>575</v>
      </c>
    </row>
    <row r="166" customFormat="false" ht="15" hidden="false" customHeight="false" outlineLevel="0" collapsed="false">
      <c r="A166" s="14" t="s">
        <v>651</v>
      </c>
      <c r="B166" s="14" t="s">
        <v>657</v>
      </c>
      <c r="C166" s="14" t="s">
        <v>658</v>
      </c>
      <c r="D166" s="14" t="s">
        <v>376</v>
      </c>
      <c r="E166" s="14" t="s">
        <v>356</v>
      </c>
      <c r="F166" s="14" t="s">
        <v>659</v>
      </c>
      <c r="G166" s="14" t="s">
        <v>575</v>
      </c>
    </row>
    <row r="167" customFormat="false" ht="15" hidden="false" customHeight="false" outlineLevel="0" collapsed="false">
      <c r="A167" s="8" t="s">
        <v>651</v>
      </c>
      <c r="B167" s="8" t="s">
        <v>660</v>
      </c>
      <c r="C167" s="8" t="s">
        <v>258</v>
      </c>
      <c r="D167" s="8" t="s">
        <v>390</v>
      </c>
      <c r="E167" s="8" t="s">
        <v>356</v>
      </c>
      <c r="F167" s="8" t="s">
        <v>661</v>
      </c>
      <c r="G167" s="8" t="s">
        <v>575</v>
      </c>
    </row>
    <row r="168" customFormat="false" ht="15" hidden="false" customHeight="false" outlineLevel="0" collapsed="false">
      <c r="A168" s="14" t="s">
        <v>651</v>
      </c>
      <c r="B168" s="14" t="s">
        <v>662</v>
      </c>
      <c r="C168" s="14" t="s">
        <v>258</v>
      </c>
      <c r="D168" s="14" t="s">
        <v>149</v>
      </c>
      <c r="E168" s="14" t="s">
        <v>332</v>
      </c>
      <c r="F168" s="14" t="s">
        <v>663</v>
      </c>
      <c r="G168" s="14" t="s">
        <v>575</v>
      </c>
    </row>
    <row r="169" customFormat="false" ht="15" hidden="false" customHeight="false" outlineLevel="0" collapsed="false">
      <c r="A169" s="8" t="s">
        <v>651</v>
      </c>
      <c r="B169" s="8" t="s">
        <v>664</v>
      </c>
      <c r="C169" s="8" t="s">
        <v>258</v>
      </c>
      <c r="D169" s="8" t="s">
        <v>665</v>
      </c>
      <c r="E169" s="8" t="s">
        <v>666</v>
      </c>
      <c r="F169" s="8" t="s">
        <v>667</v>
      </c>
      <c r="G169" s="8" t="s">
        <v>575</v>
      </c>
    </row>
    <row r="170" customFormat="false" ht="15" hidden="false" customHeight="false" outlineLevel="0" collapsed="false">
      <c r="A170" s="14" t="s">
        <v>651</v>
      </c>
      <c r="B170" s="14" t="s">
        <v>668</v>
      </c>
      <c r="C170" s="14" t="s">
        <v>669</v>
      </c>
      <c r="D170" s="14" t="s">
        <v>597</v>
      </c>
      <c r="E170" s="14" t="s">
        <v>670</v>
      </c>
      <c r="F170" s="14" t="s">
        <v>671</v>
      </c>
      <c r="G170" s="14" t="s">
        <v>575</v>
      </c>
    </row>
    <row r="171" customFormat="false" ht="15" hidden="false" customHeight="false" outlineLevel="0" collapsed="false">
      <c r="A171" s="8" t="s">
        <v>651</v>
      </c>
      <c r="B171" s="8" t="s">
        <v>587</v>
      </c>
      <c r="C171" s="8" t="s">
        <v>588</v>
      </c>
      <c r="D171" s="8" t="s">
        <v>166</v>
      </c>
      <c r="E171" s="8" t="s">
        <v>356</v>
      </c>
      <c r="F171" s="8" t="s">
        <v>589</v>
      </c>
      <c r="G171" s="8" t="s"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5F2D"/>
    <pageSetUpPr fitToPage="false"/>
  </sheetPr>
  <dimension ref="A1:L1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1"/>
    <col collapsed="false" customWidth="true" hidden="false" outlineLevel="0" max="3" min="3" style="0" width="23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1"/>
    <col collapsed="false" customWidth="true" hidden="false" outlineLevel="0" max="10" min="10" style="0" width="22"/>
    <col collapsed="false" customWidth="true" hidden="false" outlineLevel="0" max="11" min="11" style="0" width="23"/>
    <col collapsed="false" customWidth="true" hidden="false" outlineLevel="0" max="12" min="12" style="0" width="18"/>
  </cols>
  <sheetData>
    <row r="1" customFormat="false" ht="17.35" hidden="false" customHeight="false" outlineLevel="0" collapsed="false">
      <c r="A1" s="1" t="s">
        <v>672</v>
      </c>
    </row>
    <row r="2" customFormat="false" ht="15" hidden="false" customHeight="false" outlineLevel="0" collapsed="false">
      <c r="A2" s="2" t="s">
        <v>673</v>
      </c>
    </row>
    <row r="4" customFormat="false" ht="15" hidden="false" customHeight="false" outlineLevel="0" collapsed="false">
      <c r="A4" s="43" t="s">
        <v>674</v>
      </c>
    </row>
    <row r="5" customFormat="false" ht="15" hidden="false" customHeight="false" outlineLevel="0" collapsed="false">
      <c r="A5" s="6" t="s">
        <v>675</v>
      </c>
      <c r="B5" s="6" t="s">
        <v>676</v>
      </c>
    </row>
    <row r="6" customFormat="false" ht="15" hidden="false" customHeight="false" outlineLevel="0" collapsed="false">
      <c r="A6" s="8" t="s">
        <v>677</v>
      </c>
      <c r="B6" s="8" t="s">
        <v>678</v>
      </c>
    </row>
    <row r="7" customFormat="false" ht="15" hidden="false" customHeight="false" outlineLevel="0" collapsed="false">
      <c r="A7" s="14" t="s">
        <v>679</v>
      </c>
      <c r="B7" s="14" t="s">
        <v>680</v>
      </c>
    </row>
    <row r="8" customFormat="false" ht="15" hidden="false" customHeight="false" outlineLevel="0" collapsed="false">
      <c r="A8" s="8" t="s">
        <v>681</v>
      </c>
      <c r="B8" s="8" t="s">
        <v>682</v>
      </c>
    </row>
    <row r="9" customFormat="false" ht="15" hidden="false" customHeight="false" outlineLevel="0" collapsed="false">
      <c r="A9" s="14" t="s">
        <v>683</v>
      </c>
      <c r="B9" s="14" t="s">
        <v>684</v>
      </c>
    </row>
    <row r="10" customFormat="false" ht="15" hidden="false" customHeight="false" outlineLevel="0" collapsed="false">
      <c r="A10" s="8" t="s">
        <v>685</v>
      </c>
      <c r="B10" s="8" t="s">
        <v>686</v>
      </c>
    </row>
    <row r="11" customFormat="false" ht="15" hidden="false" customHeight="false" outlineLevel="0" collapsed="false">
      <c r="A11" s="14" t="s">
        <v>687</v>
      </c>
      <c r="B11" s="14" t="s">
        <v>688</v>
      </c>
    </row>
    <row r="12" customFormat="false" ht="15" hidden="false" customHeight="false" outlineLevel="0" collapsed="false">
      <c r="A12" s="8" t="s">
        <v>689</v>
      </c>
      <c r="B12" s="8" t="s">
        <v>690</v>
      </c>
    </row>
    <row r="13" customFormat="false" ht="15" hidden="false" customHeight="false" outlineLevel="0" collapsed="false">
      <c r="A13" s="14" t="s">
        <v>691</v>
      </c>
      <c r="B13" s="14" t="s">
        <v>692</v>
      </c>
    </row>
    <row r="14" customFormat="false" ht="15" hidden="false" customHeight="false" outlineLevel="0" collapsed="false">
      <c r="A14" s="8" t="s">
        <v>693</v>
      </c>
      <c r="B14" s="8" t="s">
        <v>139</v>
      </c>
    </row>
    <row r="15" customFormat="false" ht="15" hidden="false" customHeight="false" outlineLevel="0" collapsed="false">
      <c r="A15" s="14" t="s">
        <v>694</v>
      </c>
      <c r="B15" s="14" t="s">
        <v>152</v>
      </c>
    </row>
    <row r="16" customFormat="false" ht="15" hidden="false" customHeight="false" outlineLevel="0" collapsed="false">
      <c r="A16" s="8" t="s">
        <v>695</v>
      </c>
      <c r="B16" s="8" t="s">
        <v>696</v>
      </c>
    </row>
    <row r="17" customFormat="false" ht="15" hidden="false" customHeight="false" outlineLevel="0" collapsed="false">
      <c r="A17" s="14" t="s">
        <v>697</v>
      </c>
      <c r="B17" s="14" t="s">
        <v>698</v>
      </c>
    </row>
    <row r="19" customFormat="false" ht="15" hidden="false" customHeight="false" outlineLevel="0" collapsed="false">
      <c r="A19" s="43" t="s">
        <v>699</v>
      </c>
    </row>
    <row r="20" customFormat="false" ht="15" hidden="false" customHeight="false" outlineLevel="0" collapsed="false">
      <c r="A20" s="6" t="s">
        <v>700</v>
      </c>
      <c r="B20" s="6" t="s">
        <v>134</v>
      </c>
      <c r="C20" s="6" t="s">
        <v>209</v>
      </c>
      <c r="D20" s="6" t="s">
        <v>701</v>
      </c>
      <c r="E20" s="6" t="s">
        <v>702</v>
      </c>
      <c r="F20" s="6" t="s">
        <v>703</v>
      </c>
      <c r="G20" s="6" t="s">
        <v>704</v>
      </c>
      <c r="H20" s="6" t="s">
        <v>705</v>
      </c>
      <c r="I20" s="6" t="s">
        <v>706</v>
      </c>
      <c r="J20" s="6" t="s">
        <v>136</v>
      </c>
      <c r="K20" s="6" t="s">
        <v>707</v>
      </c>
    </row>
    <row r="21" customFormat="false" ht="15" hidden="false" customHeight="false" outlineLevel="0" collapsed="false">
      <c r="A21" s="11" t="n">
        <v>0</v>
      </c>
      <c r="B21" s="8" t="s">
        <v>139</v>
      </c>
      <c r="C21" s="11" t="n">
        <v>2868</v>
      </c>
      <c r="D21" s="46" t="n">
        <v>0.1735</v>
      </c>
      <c r="E21" s="11" t="n">
        <v>327</v>
      </c>
      <c r="F21" s="46" t="n">
        <v>0.1583</v>
      </c>
      <c r="G21" s="11" t="n">
        <v>374</v>
      </c>
      <c r="H21" s="46" t="n">
        <v>0.1809</v>
      </c>
      <c r="I21" s="11" t="n">
        <v>3569</v>
      </c>
      <c r="J21" s="8" t="s">
        <v>140</v>
      </c>
      <c r="K21" s="11" t="n">
        <v>1</v>
      </c>
    </row>
    <row r="22" customFormat="false" ht="15" hidden="false" customHeight="false" outlineLevel="0" collapsed="false">
      <c r="A22" s="17" t="n">
        <v>1</v>
      </c>
      <c r="B22" s="14" t="s">
        <v>141</v>
      </c>
      <c r="C22" s="17" t="n">
        <v>824</v>
      </c>
      <c r="D22" s="47" t="n">
        <v>0.0498</v>
      </c>
      <c r="E22" s="17" t="n">
        <v>91</v>
      </c>
      <c r="F22" s="47" t="n">
        <v>0.044</v>
      </c>
      <c r="G22" s="17" t="n">
        <v>98</v>
      </c>
      <c r="H22" s="47" t="n">
        <v>0.0474</v>
      </c>
      <c r="I22" s="17" t="n">
        <v>1013</v>
      </c>
      <c r="J22" s="14" t="s">
        <v>142</v>
      </c>
      <c r="K22" s="17" t="n">
        <v>16</v>
      </c>
    </row>
    <row r="23" customFormat="false" ht="15" hidden="false" customHeight="false" outlineLevel="0" collapsed="false">
      <c r="A23" s="11" t="n">
        <v>2</v>
      </c>
      <c r="B23" s="8" t="s">
        <v>143</v>
      </c>
      <c r="C23" s="11" t="n">
        <v>1614</v>
      </c>
      <c r="D23" s="46" t="n">
        <v>0.0976</v>
      </c>
      <c r="E23" s="11" t="n">
        <v>168</v>
      </c>
      <c r="F23" s="46" t="n">
        <v>0.0813</v>
      </c>
      <c r="G23" s="11" t="n">
        <v>204</v>
      </c>
      <c r="H23" s="46" t="n">
        <v>0.0987</v>
      </c>
      <c r="I23" s="11" t="n">
        <v>1986</v>
      </c>
      <c r="J23" s="8" t="s">
        <v>140</v>
      </c>
      <c r="K23" s="11" t="n">
        <v>4</v>
      </c>
    </row>
    <row r="24" customFormat="false" ht="15" hidden="false" customHeight="false" outlineLevel="0" collapsed="false">
      <c r="A24" s="17" t="n">
        <v>3</v>
      </c>
      <c r="B24" s="14" t="s">
        <v>144</v>
      </c>
      <c r="C24" s="17" t="n">
        <v>1175</v>
      </c>
      <c r="D24" s="47" t="n">
        <v>0.0711</v>
      </c>
      <c r="E24" s="17" t="n">
        <v>148</v>
      </c>
      <c r="F24" s="47" t="n">
        <v>0.0716</v>
      </c>
      <c r="G24" s="17" t="n">
        <v>143</v>
      </c>
      <c r="H24" s="47" t="n">
        <v>0.0692</v>
      </c>
      <c r="I24" s="17" t="n">
        <v>1466</v>
      </c>
      <c r="J24" s="14" t="s">
        <v>140</v>
      </c>
      <c r="K24" s="17" t="n">
        <v>8</v>
      </c>
    </row>
    <row r="25" customFormat="false" ht="15" hidden="false" customHeight="false" outlineLevel="0" collapsed="false">
      <c r="A25" s="11" t="n">
        <v>4</v>
      </c>
      <c r="B25" s="8" t="s">
        <v>145</v>
      </c>
      <c r="C25" s="11" t="n">
        <v>762</v>
      </c>
      <c r="D25" s="46" t="n">
        <v>0.0461</v>
      </c>
      <c r="E25" s="11" t="n">
        <v>102</v>
      </c>
      <c r="F25" s="46" t="n">
        <v>0.0494</v>
      </c>
      <c r="G25" s="11" t="n">
        <v>80</v>
      </c>
      <c r="H25" s="46" t="n">
        <v>0.0387</v>
      </c>
      <c r="I25" s="11" t="n">
        <v>944</v>
      </c>
      <c r="J25" s="8" t="s">
        <v>146</v>
      </c>
      <c r="K25" s="11" t="n">
        <v>20</v>
      </c>
    </row>
    <row r="26" customFormat="false" ht="15" hidden="false" customHeight="false" outlineLevel="0" collapsed="false">
      <c r="A26" s="17" t="n">
        <v>5</v>
      </c>
      <c r="B26" s="14" t="s">
        <v>147</v>
      </c>
      <c r="C26" s="17" t="n">
        <v>1046</v>
      </c>
      <c r="D26" s="47" t="n">
        <v>0.0633</v>
      </c>
      <c r="E26" s="17" t="n">
        <v>122</v>
      </c>
      <c r="F26" s="47" t="n">
        <v>0.0591</v>
      </c>
      <c r="G26" s="17" t="n">
        <v>142</v>
      </c>
      <c r="H26" s="47" t="n">
        <v>0.0687</v>
      </c>
      <c r="I26" s="17" t="n">
        <v>1310</v>
      </c>
      <c r="J26" s="14" t="s">
        <v>142</v>
      </c>
      <c r="K26" s="17" t="n">
        <v>10</v>
      </c>
    </row>
    <row r="27" customFormat="false" ht="15" hidden="false" customHeight="false" outlineLevel="0" collapsed="false">
      <c r="A27" s="11" t="n">
        <v>6</v>
      </c>
      <c r="B27" s="8" t="s">
        <v>148</v>
      </c>
      <c r="C27" s="11" t="n">
        <v>1062</v>
      </c>
      <c r="D27" s="46" t="n">
        <v>0.0642</v>
      </c>
      <c r="E27" s="11" t="n">
        <v>131</v>
      </c>
      <c r="F27" s="46" t="n">
        <v>0.0634</v>
      </c>
      <c r="G27" s="11" t="n">
        <v>150</v>
      </c>
      <c r="H27" s="46" t="n">
        <v>0.0726</v>
      </c>
      <c r="I27" s="11" t="n">
        <v>1343</v>
      </c>
      <c r="J27" s="8" t="s">
        <v>140</v>
      </c>
      <c r="K27" s="11" t="n">
        <v>9</v>
      </c>
    </row>
    <row r="28" customFormat="false" ht="15" hidden="false" customHeight="false" outlineLevel="0" collapsed="false">
      <c r="A28" s="17" t="n">
        <v>7</v>
      </c>
      <c r="B28" s="14" t="s">
        <v>149</v>
      </c>
      <c r="C28" s="17" t="n">
        <v>774</v>
      </c>
      <c r="D28" s="47" t="n">
        <v>0.0468</v>
      </c>
      <c r="E28" s="17" t="n">
        <v>87</v>
      </c>
      <c r="F28" s="47" t="n">
        <v>0.0421</v>
      </c>
      <c r="G28" s="17" t="n">
        <v>86</v>
      </c>
      <c r="H28" s="47" t="n">
        <v>0.0416</v>
      </c>
      <c r="I28" s="17" t="n">
        <v>947</v>
      </c>
      <c r="J28" s="14" t="s">
        <v>142</v>
      </c>
      <c r="K28" s="17" t="n">
        <v>18</v>
      </c>
    </row>
    <row r="29" customFormat="false" ht="15" hidden="false" customHeight="false" outlineLevel="0" collapsed="false">
      <c r="A29" s="11" t="n">
        <v>8</v>
      </c>
      <c r="B29" s="8" t="s">
        <v>150</v>
      </c>
      <c r="C29" s="11" t="n">
        <v>883</v>
      </c>
      <c r="D29" s="46" t="n">
        <v>0.0534</v>
      </c>
      <c r="E29" s="11" t="n">
        <v>107</v>
      </c>
      <c r="F29" s="46" t="n">
        <v>0.0518</v>
      </c>
      <c r="G29" s="11" t="n">
        <v>101</v>
      </c>
      <c r="H29" s="46" t="n">
        <v>0.0489</v>
      </c>
      <c r="I29" s="11" t="n">
        <v>1091</v>
      </c>
      <c r="J29" s="8" t="s">
        <v>142</v>
      </c>
      <c r="K29" s="11" t="n">
        <v>14</v>
      </c>
    </row>
    <row r="30" customFormat="false" ht="15" hidden="false" customHeight="false" outlineLevel="0" collapsed="false">
      <c r="A30" s="17" t="n">
        <v>9</v>
      </c>
      <c r="B30" s="14" t="s">
        <v>151</v>
      </c>
      <c r="C30" s="17" t="n">
        <v>765</v>
      </c>
      <c r="D30" s="47" t="n">
        <v>0.0463</v>
      </c>
      <c r="E30" s="17" t="n">
        <v>96</v>
      </c>
      <c r="F30" s="47" t="n">
        <v>0.0465</v>
      </c>
      <c r="G30" s="17" t="n">
        <v>108</v>
      </c>
      <c r="H30" s="47" t="n">
        <v>0.0522</v>
      </c>
      <c r="I30" s="17" t="n">
        <v>969</v>
      </c>
      <c r="J30" s="14" t="s">
        <v>142</v>
      </c>
      <c r="K30" s="17" t="n">
        <v>19</v>
      </c>
    </row>
    <row r="31" customFormat="false" ht="15" hidden="false" customHeight="false" outlineLevel="0" collapsed="false">
      <c r="A31" s="11" t="n">
        <v>10</v>
      </c>
      <c r="B31" s="8" t="s">
        <v>152</v>
      </c>
      <c r="C31" s="11" t="n">
        <v>635</v>
      </c>
      <c r="D31" s="46" t="n">
        <v>0.0384</v>
      </c>
      <c r="E31" s="11" t="n">
        <v>58</v>
      </c>
      <c r="F31" s="46" t="n">
        <v>0.0281</v>
      </c>
      <c r="G31" s="11" t="n">
        <v>60</v>
      </c>
      <c r="H31" s="46" t="n">
        <v>0.029</v>
      </c>
      <c r="I31" s="11" t="n">
        <v>753</v>
      </c>
      <c r="J31" s="8" t="s">
        <v>146</v>
      </c>
      <c r="K31" s="11" t="n">
        <v>28</v>
      </c>
    </row>
    <row r="32" customFormat="false" ht="15" hidden="false" customHeight="false" outlineLevel="0" collapsed="false">
      <c r="A32" s="17" t="n">
        <v>11</v>
      </c>
      <c r="B32" s="14" t="s">
        <v>153</v>
      </c>
      <c r="C32" s="17" t="n">
        <v>917</v>
      </c>
      <c r="D32" s="47" t="n">
        <v>0.0555</v>
      </c>
      <c r="E32" s="17" t="n">
        <v>119</v>
      </c>
      <c r="F32" s="47" t="n">
        <v>0.0576</v>
      </c>
      <c r="G32" s="17" t="n">
        <v>115</v>
      </c>
      <c r="H32" s="47" t="n">
        <v>0.0556</v>
      </c>
      <c r="I32" s="17" t="n">
        <v>1151</v>
      </c>
      <c r="J32" s="14" t="s">
        <v>142</v>
      </c>
      <c r="K32" s="17" t="n">
        <v>12</v>
      </c>
    </row>
    <row r="33" customFormat="false" ht="15" hidden="false" customHeight="false" outlineLevel="0" collapsed="false">
      <c r="A33" s="11" t="n">
        <v>12</v>
      </c>
      <c r="B33" s="8" t="s">
        <v>154</v>
      </c>
      <c r="C33" s="11" t="n">
        <v>687</v>
      </c>
      <c r="D33" s="46" t="n">
        <v>0.0416</v>
      </c>
      <c r="E33" s="11" t="n">
        <v>96</v>
      </c>
      <c r="F33" s="46" t="n">
        <v>0.0465</v>
      </c>
      <c r="G33" s="11" t="n">
        <v>95</v>
      </c>
      <c r="H33" s="46" t="n">
        <v>0.046</v>
      </c>
      <c r="I33" s="11" t="n">
        <v>878</v>
      </c>
      <c r="J33" s="8" t="s">
        <v>146</v>
      </c>
      <c r="K33" s="11" t="n">
        <v>25</v>
      </c>
    </row>
    <row r="34" customFormat="false" ht="15" hidden="false" customHeight="false" outlineLevel="0" collapsed="false">
      <c r="A34" s="17" t="n">
        <v>13</v>
      </c>
      <c r="B34" s="14" t="s">
        <v>155</v>
      </c>
      <c r="C34" s="17" t="n">
        <v>651</v>
      </c>
      <c r="D34" s="47" t="n">
        <v>0.0394</v>
      </c>
      <c r="E34" s="17" t="n">
        <v>87</v>
      </c>
      <c r="F34" s="47" t="n">
        <v>0.0421</v>
      </c>
      <c r="G34" s="17" t="n">
        <v>85</v>
      </c>
      <c r="H34" s="47" t="n">
        <v>0.0411</v>
      </c>
      <c r="I34" s="17" t="n">
        <v>823</v>
      </c>
      <c r="J34" s="14" t="s">
        <v>146</v>
      </c>
      <c r="K34" s="17" t="n">
        <v>27</v>
      </c>
    </row>
    <row r="35" customFormat="false" ht="15" hidden="false" customHeight="false" outlineLevel="0" collapsed="false">
      <c r="A35" s="11" t="n">
        <v>14</v>
      </c>
      <c r="B35" s="8" t="s">
        <v>156</v>
      </c>
      <c r="C35" s="11" t="n">
        <v>840</v>
      </c>
      <c r="D35" s="46" t="n">
        <v>0.0508</v>
      </c>
      <c r="E35" s="11" t="n">
        <v>112</v>
      </c>
      <c r="F35" s="46" t="n">
        <v>0.0542</v>
      </c>
      <c r="G35" s="11" t="n">
        <v>100</v>
      </c>
      <c r="H35" s="46" t="n">
        <v>0.0484</v>
      </c>
      <c r="I35" s="11" t="n">
        <v>1052</v>
      </c>
      <c r="J35" s="8" t="s">
        <v>142</v>
      </c>
      <c r="K35" s="11" t="n">
        <v>15</v>
      </c>
    </row>
    <row r="36" customFormat="false" ht="15" hidden="false" customHeight="false" outlineLevel="0" collapsed="false">
      <c r="A36" s="17" t="n">
        <v>15</v>
      </c>
      <c r="B36" s="14" t="s">
        <v>157</v>
      </c>
      <c r="C36" s="17" t="n">
        <v>676</v>
      </c>
      <c r="D36" s="47" t="n">
        <v>0.0409</v>
      </c>
      <c r="E36" s="17" t="n">
        <v>89</v>
      </c>
      <c r="F36" s="47" t="n">
        <v>0.0431</v>
      </c>
      <c r="G36" s="17" t="n">
        <v>84</v>
      </c>
      <c r="H36" s="47" t="n">
        <v>0.0406</v>
      </c>
      <c r="I36" s="17" t="n">
        <v>849</v>
      </c>
      <c r="J36" s="14" t="s">
        <v>146</v>
      </c>
      <c r="K36" s="17" t="n">
        <v>26</v>
      </c>
    </row>
    <row r="37" customFormat="false" ht="15" hidden="false" customHeight="false" outlineLevel="0" collapsed="false">
      <c r="A37" s="11" t="n">
        <v>16</v>
      </c>
      <c r="B37" s="8" t="s">
        <v>158</v>
      </c>
      <c r="C37" s="11" t="n">
        <v>745</v>
      </c>
      <c r="D37" s="46" t="n">
        <v>0.0451</v>
      </c>
      <c r="E37" s="11" t="n">
        <v>117</v>
      </c>
      <c r="F37" s="46" t="n">
        <v>0.0566</v>
      </c>
      <c r="G37" s="11" t="n">
        <v>98</v>
      </c>
      <c r="H37" s="46" t="n">
        <v>0.0474</v>
      </c>
      <c r="I37" s="11" t="n">
        <v>960</v>
      </c>
      <c r="J37" s="8" t="s">
        <v>146</v>
      </c>
      <c r="K37" s="11" t="n">
        <v>22</v>
      </c>
    </row>
    <row r="38" customFormat="false" ht="15" hidden="false" customHeight="false" outlineLevel="0" collapsed="false">
      <c r="A38" s="17" t="n">
        <v>17</v>
      </c>
      <c r="B38" s="14" t="s">
        <v>159</v>
      </c>
      <c r="C38" s="17" t="n">
        <v>728</v>
      </c>
      <c r="D38" s="47" t="n">
        <v>0.044</v>
      </c>
      <c r="E38" s="17" t="n">
        <v>109</v>
      </c>
      <c r="F38" s="47" t="n">
        <v>0.0528</v>
      </c>
      <c r="G38" s="17" t="n">
        <v>96</v>
      </c>
      <c r="H38" s="47" t="n">
        <v>0.0464</v>
      </c>
      <c r="I38" s="17" t="n">
        <v>933</v>
      </c>
      <c r="J38" s="14" t="s">
        <v>146</v>
      </c>
      <c r="K38" s="17" t="n">
        <v>23</v>
      </c>
    </row>
    <row r="39" customFormat="false" ht="15" hidden="false" customHeight="false" outlineLevel="0" collapsed="false">
      <c r="A39" s="11" t="n">
        <v>18</v>
      </c>
      <c r="B39" s="8" t="s">
        <v>160</v>
      </c>
      <c r="C39" s="11" t="n">
        <v>707</v>
      </c>
      <c r="D39" s="46" t="n">
        <v>0.0428</v>
      </c>
      <c r="E39" s="11" t="n">
        <v>96</v>
      </c>
      <c r="F39" s="46" t="n">
        <v>0.0465</v>
      </c>
      <c r="G39" s="11" t="n">
        <v>87</v>
      </c>
      <c r="H39" s="46" t="n">
        <v>0.0421</v>
      </c>
      <c r="I39" s="11" t="n">
        <v>890</v>
      </c>
      <c r="J39" s="8" t="s">
        <v>146</v>
      </c>
      <c r="K39" s="11" t="n">
        <v>24</v>
      </c>
    </row>
    <row r="40" customFormat="false" ht="15" hidden="false" customHeight="false" outlineLevel="0" collapsed="false">
      <c r="A40" s="17" t="n">
        <v>19</v>
      </c>
      <c r="B40" s="14" t="s">
        <v>161</v>
      </c>
      <c r="C40" s="17" t="n">
        <v>885</v>
      </c>
      <c r="D40" s="47" t="n">
        <v>0.0535</v>
      </c>
      <c r="E40" s="17" t="n">
        <v>137</v>
      </c>
      <c r="F40" s="47" t="n">
        <v>0.0663</v>
      </c>
      <c r="G40" s="17" t="n">
        <v>107</v>
      </c>
      <c r="H40" s="47" t="n">
        <v>0.0518</v>
      </c>
      <c r="I40" s="17" t="n">
        <v>1129</v>
      </c>
      <c r="J40" s="14" t="s">
        <v>142</v>
      </c>
      <c r="K40" s="17" t="n">
        <v>13</v>
      </c>
    </row>
    <row r="41" customFormat="false" ht="15" hidden="false" customHeight="false" outlineLevel="0" collapsed="false">
      <c r="A41" s="11" t="n">
        <v>20</v>
      </c>
      <c r="B41" s="8" t="s">
        <v>162</v>
      </c>
      <c r="C41" s="11" t="n">
        <v>1522</v>
      </c>
      <c r="D41" s="46" t="n">
        <v>0.0921</v>
      </c>
      <c r="E41" s="11" t="n">
        <v>211</v>
      </c>
      <c r="F41" s="46" t="n">
        <v>0.1021</v>
      </c>
      <c r="G41" s="11" t="n">
        <v>197</v>
      </c>
      <c r="H41" s="46" t="n">
        <v>0.0953</v>
      </c>
      <c r="I41" s="11" t="n">
        <v>1930</v>
      </c>
      <c r="J41" s="8" t="s">
        <v>140</v>
      </c>
      <c r="K41" s="11" t="n">
        <v>6</v>
      </c>
    </row>
    <row r="42" customFormat="false" ht="15" hidden="false" customHeight="false" outlineLevel="0" collapsed="false">
      <c r="A42" s="17" t="n">
        <v>21</v>
      </c>
      <c r="B42" s="14" t="s">
        <v>163</v>
      </c>
      <c r="C42" s="17" t="n">
        <v>2785</v>
      </c>
      <c r="D42" s="47" t="n">
        <v>0.1685</v>
      </c>
      <c r="E42" s="17" t="n">
        <v>354</v>
      </c>
      <c r="F42" s="47" t="n">
        <v>0.1713</v>
      </c>
      <c r="G42" s="17" t="n">
        <v>345</v>
      </c>
      <c r="H42" s="47" t="n">
        <v>0.1669</v>
      </c>
      <c r="I42" s="17" t="n">
        <v>3484</v>
      </c>
      <c r="J42" s="14" t="s">
        <v>140</v>
      </c>
      <c r="K42" s="17" t="n">
        <v>2</v>
      </c>
    </row>
    <row r="43" customFormat="false" ht="15" hidden="false" customHeight="false" outlineLevel="0" collapsed="false">
      <c r="A43" s="11" t="n">
        <v>22</v>
      </c>
      <c r="B43" s="8" t="s">
        <v>164</v>
      </c>
      <c r="C43" s="11" t="n">
        <v>747</v>
      </c>
      <c r="D43" s="46" t="n">
        <v>0.0452</v>
      </c>
      <c r="E43" s="11" t="n">
        <v>97</v>
      </c>
      <c r="F43" s="46" t="n">
        <v>0.047</v>
      </c>
      <c r="G43" s="11" t="n">
        <v>86</v>
      </c>
      <c r="H43" s="46" t="n">
        <v>0.0416</v>
      </c>
      <c r="I43" s="11" t="n">
        <v>930</v>
      </c>
      <c r="J43" s="8" t="s">
        <v>146</v>
      </c>
      <c r="K43" s="11" t="n">
        <v>21</v>
      </c>
    </row>
    <row r="44" customFormat="false" ht="15" hidden="false" customHeight="false" outlineLevel="0" collapsed="false">
      <c r="A44" s="17" t="n">
        <v>23</v>
      </c>
      <c r="B44" s="14" t="s">
        <v>165</v>
      </c>
      <c r="C44" s="17" t="n">
        <v>1206</v>
      </c>
      <c r="D44" s="47" t="n">
        <v>0.073</v>
      </c>
      <c r="E44" s="17" t="n">
        <v>164</v>
      </c>
      <c r="F44" s="47" t="n">
        <v>0.0794</v>
      </c>
      <c r="G44" s="17" t="n">
        <v>141</v>
      </c>
      <c r="H44" s="47" t="n">
        <v>0.0682</v>
      </c>
      <c r="I44" s="17" t="n">
        <v>1511</v>
      </c>
      <c r="J44" s="14" t="s">
        <v>140</v>
      </c>
      <c r="K44" s="17" t="n">
        <v>7</v>
      </c>
    </row>
    <row r="45" customFormat="false" ht="15" hidden="false" customHeight="false" outlineLevel="0" collapsed="false">
      <c r="A45" s="11" t="n">
        <v>24</v>
      </c>
      <c r="B45" s="8" t="s">
        <v>166</v>
      </c>
      <c r="C45" s="11" t="n">
        <v>1589</v>
      </c>
      <c r="D45" s="46" t="n">
        <v>0.0961</v>
      </c>
      <c r="E45" s="11" t="n">
        <v>185</v>
      </c>
      <c r="F45" s="46" t="n">
        <v>0.0895</v>
      </c>
      <c r="G45" s="11" t="n">
        <v>189</v>
      </c>
      <c r="H45" s="46" t="n">
        <v>0.0914</v>
      </c>
      <c r="I45" s="11" t="n">
        <v>1963</v>
      </c>
      <c r="J45" s="8" t="s">
        <v>140</v>
      </c>
      <c r="K45" s="11" t="n">
        <v>5</v>
      </c>
    </row>
    <row r="46" customFormat="false" ht="15" hidden="false" customHeight="false" outlineLevel="0" collapsed="false">
      <c r="A46" s="17" t="n">
        <v>25</v>
      </c>
      <c r="B46" s="14" t="s">
        <v>167</v>
      </c>
      <c r="C46" s="17" t="n">
        <v>2662</v>
      </c>
      <c r="D46" s="47" t="n">
        <v>0.161</v>
      </c>
      <c r="E46" s="17" t="n">
        <v>331</v>
      </c>
      <c r="F46" s="47" t="n">
        <v>0.1602</v>
      </c>
      <c r="G46" s="17" t="n">
        <v>343</v>
      </c>
      <c r="H46" s="47" t="n">
        <v>0.1659</v>
      </c>
      <c r="I46" s="17" t="n">
        <v>3336</v>
      </c>
      <c r="J46" s="14" t="s">
        <v>140</v>
      </c>
      <c r="K46" s="17" t="n">
        <v>3</v>
      </c>
    </row>
    <row r="47" customFormat="false" ht="15" hidden="false" customHeight="false" outlineLevel="0" collapsed="false">
      <c r="A47" s="11" t="n">
        <v>26</v>
      </c>
      <c r="B47" s="8" t="s">
        <v>168</v>
      </c>
      <c r="C47" s="11" t="n">
        <v>969</v>
      </c>
      <c r="D47" s="46" t="n">
        <v>0.0586</v>
      </c>
      <c r="E47" s="11" t="n">
        <v>123</v>
      </c>
      <c r="F47" s="46" t="n">
        <v>0.0595</v>
      </c>
      <c r="G47" s="11" t="n">
        <v>112</v>
      </c>
      <c r="H47" s="46" t="n">
        <v>0.0542</v>
      </c>
      <c r="I47" s="11" t="n">
        <v>1204</v>
      </c>
      <c r="J47" s="8" t="s">
        <v>142</v>
      </c>
      <c r="K47" s="11" t="n">
        <v>11</v>
      </c>
    </row>
    <row r="48" customFormat="false" ht="15" hidden="false" customHeight="false" outlineLevel="0" collapsed="false">
      <c r="A48" s="17" t="n">
        <v>27</v>
      </c>
      <c r="B48" s="14" t="s">
        <v>169</v>
      </c>
      <c r="C48" s="17" t="n">
        <v>821</v>
      </c>
      <c r="D48" s="47" t="n">
        <v>0.0497</v>
      </c>
      <c r="E48" s="17" t="n">
        <v>94</v>
      </c>
      <c r="F48" s="47" t="n">
        <v>0.0455</v>
      </c>
      <c r="G48" s="17" t="n">
        <v>116</v>
      </c>
      <c r="H48" s="47" t="n">
        <v>0.0561</v>
      </c>
      <c r="I48" s="17" t="n">
        <v>1031</v>
      </c>
      <c r="J48" s="14" t="s">
        <v>142</v>
      </c>
      <c r="K48" s="17" t="n">
        <v>17</v>
      </c>
    </row>
    <row r="50" customFormat="false" ht="15" hidden="false" customHeight="false" outlineLevel="0" collapsed="false">
      <c r="A50" s="43" t="s">
        <v>708</v>
      </c>
    </row>
    <row r="51" customFormat="false" ht="15" hidden="false" customHeight="false" outlineLevel="0" collapsed="false">
      <c r="A51" s="6" t="s">
        <v>709</v>
      </c>
      <c r="B51" s="6" t="s">
        <v>304</v>
      </c>
      <c r="C51" s="6" t="s">
        <v>710</v>
      </c>
      <c r="D51" s="6" t="s">
        <v>711</v>
      </c>
      <c r="E51" s="6" t="s">
        <v>712</v>
      </c>
      <c r="F51" s="6" t="s">
        <v>713</v>
      </c>
      <c r="G51" s="6" t="s">
        <v>714</v>
      </c>
      <c r="H51" s="6" t="s">
        <v>715</v>
      </c>
      <c r="I51" s="6" t="s">
        <v>716</v>
      </c>
      <c r="J51" s="6" t="s">
        <v>717</v>
      </c>
      <c r="K51" s="6" t="s">
        <v>718</v>
      </c>
      <c r="L51" s="6" t="s">
        <v>719</v>
      </c>
    </row>
    <row r="52" customFormat="false" ht="15" hidden="false" customHeight="false" outlineLevel="0" collapsed="false">
      <c r="A52" s="8" t="s">
        <v>720</v>
      </c>
      <c r="B52" s="11" t="n">
        <v>16531</v>
      </c>
      <c r="C52" s="9" t="n">
        <v>1.9082330167564</v>
      </c>
      <c r="D52" s="11" t="n">
        <v>2</v>
      </c>
      <c r="E52" s="33" t="n">
        <v>5</v>
      </c>
      <c r="F52" s="9" t="n">
        <v>0.0681511791698713</v>
      </c>
      <c r="G52" s="46" t="n">
        <v>0.3285</v>
      </c>
      <c r="H52" s="46" t="n">
        <v>0.4662</v>
      </c>
      <c r="I52" s="46" t="n">
        <v>0.1763</v>
      </c>
      <c r="J52" s="46" t="n">
        <v>0.0265</v>
      </c>
      <c r="K52" s="46" t="n">
        <v>0.0025</v>
      </c>
      <c r="L52" s="46" t="n">
        <v>0.0345</v>
      </c>
    </row>
    <row r="53" customFormat="false" ht="15" hidden="false" customHeight="false" outlineLevel="0" collapsed="false">
      <c r="A53" s="14" t="s">
        <v>721</v>
      </c>
      <c r="B53" s="17" t="n">
        <v>2066</v>
      </c>
      <c r="C53" s="15" t="n">
        <v>1.91577928363988</v>
      </c>
      <c r="D53" s="17" t="n">
        <v>2</v>
      </c>
      <c r="E53" s="35" t="n">
        <v>5</v>
      </c>
      <c r="F53" s="15" t="n">
        <v>0.0684206887014244</v>
      </c>
      <c r="G53" s="47" t="n">
        <v>0.3287</v>
      </c>
      <c r="H53" s="47" t="n">
        <v>0.4569</v>
      </c>
      <c r="I53" s="47" t="n">
        <v>0.1878</v>
      </c>
      <c r="J53" s="47" t="n">
        <v>0.0232</v>
      </c>
      <c r="K53" s="47" t="n">
        <v>0.0034</v>
      </c>
      <c r="L53" s="47" t="n">
        <v>0.0363</v>
      </c>
    </row>
    <row r="54" customFormat="false" ht="15" hidden="false" customHeight="false" outlineLevel="0" collapsed="false">
      <c r="A54" s="8" t="s">
        <v>722</v>
      </c>
      <c r="B54" s="11" t="n">
        <v>2067</v>
      </c>
      <c r="C54" s="9" t="n">
        <v>1.90711175616836</v>
      </c>
      <c r="D54" s="11" t="n">
        <v>2</v>
      </c>
      <c r="E54" s="33" t="n">
        <v>5</v>
      </c>
      <c r="F54" s="9" t="n">
        <v>0.06811113414887</v>
      </c>
      <c r="G54" s="46" t="n">
        <v>0.3362</v>
      </c>
      <c r="H54" s="46" t="n">
        <v>0.4577</v>
      </c>
      <c r="I54" s="46" t="n">
        <v>0.1742</v>
      </c>
      <c r="J54" s="46" t="n">
        <v>0.0266</v>
      </c>
      <c r="K54" s="46" t="n">
        <v>0.0053</v>
      </c>
      <c r="L54" s="46" t="n">
        <v>0.0387</v>
      </c>
    </row>
    <row r="56" customFormat="false" ht="15" hidden="false" customHeight="false" outlineLevel="0" collapsed="false">
      <c r="A56" s="43" t="s">
        <v>723</v>
      </c>
    </row>
    <row r="57" customFormat="false" ht="15" hidden="false" customHeight="false" outlineLevel="0" collapsed="false">
      <c r="A57" s="6" t="s">
        <v>724</v>
      </c>
      <c r="B57" s="6" t="s">
        <v>725</v>
      </c>
      <c r="C57" s="6" t="s">
        <v>301</v>
      </c>
      <c r="D57" s="6" t="s">
        <v>726</v>
      </c>
      <c r="E57" s="6" t="s">
        <v>727</v>
      </c>
      <c r="F57" s="6" t="s">
        <v>728</v>
      </c>
      <c r="G57" s="6" t="s">
        <v>729</v>
      </c>
      <c r="H57" s="6" t="s">
        <v>730</v>
      </c>
    </row>
    <row r="58" customFormat="false" ht="15" hidden="false" customHeight="false" outlineLevel="0" collapsed="false">
      <c r="A58" s="8" t="s">
        <v>162</v>
      </c>
      <c r="B58" s="8" t="s">
        <v>163</v>
      </c>
      <c r="C58" s="11" t="n">
        <v>904</v>
      </c>
      <c r="D58" s="46" t="n">
        <v>5.47</v>
      </c>
      <c r="E58" s="9" t="n">
        <v>0.594</v>
      </c>
      <c r="F58" s="9" t="n">
        <v>0.325</v>
      </c>
      <c r="G58" s="9" t="n">
        <v>0.362</v>
      </c>
      <c r="H58" s="9" t="n">
        <v>1.818</v>
      </c>
    </row>
    <row r="59" customFormat="false" ht="15" hidden="false" customHeight="false" outlineLevel="0" collapsed="false">
      <c r="A59" s="14" t="s">
        <v>166</v>
      </c>
      <c r="B59" s="14" t="s">
        <v>167</v>
      </c>
      <c r="C59" s="17" t="n">
        <v>699</v>
      </c>
      <c r="D59" s="47" t="n">
        <v>4.23</v>
      </c>
      <c r="E59" s="15" t="n">
        <v>0.44</v>
      </c>
      <c r="F59" s="15" t="n">
        <v>0.263</v>
      </c>
      <c r="G59" s="15" t="n">
        <v>0.247</v>
      </c>
      <c r="H59" s="15" t="n">
        <v>1.45</v>
      </c>
    </row>
    <row r="60" customFormat="false" ht="15" hidden="false" customHeight="false" outlineLevel="0" collapsed="false">
      <c r="A60" s="8" t="s">
        <v>163</v>
      </c>
      <c r="B60" s="8" t="s">
        <v>164</v>
      </c>
      <c r="C60" s="11" t="n">
        <v>620</v>
      </c>
      <c r="D60" s="46" t="n">
        <v>3.75</v>
      </c>
      <c r="E60" s="9" t="n">
        <v>0.223</v>
      </c>
      <c r="F60" s="9" t="n">
        <v>0.83</v>
      </c>
      <c r="G60" s="9" t="n">
        <v>0.384</v>
      </c>
      <c r="H60" s="9" t="n">
        <v>2.301</v>
      </c>
    </row>
    <row r="61" customFormat="false" ht="15" hidden="false" customHeight="false" outlineLevel="0" collapsed="false">
      <c r="A61" s="14" t="s">
        <v>139</v>
      </c>
      <c r="B61" s="14" t="s">
        <v>143</v>
      </c>
      <c r="C61" s="17" t="n">
        <v>568</v>
      </c>
      <c r="D61" s="47" t="n">
        <v>3.44</v>
      </c>
      <c r="E61" s="15" t="n">
        <v>0.198</v>
      </c>
      <c r="F61" s="15" t="n">
        <v>0.352</v>
      </c>
      <c r="G61" s="15" t="n">
        <v>0.155</v>
      </c>
      <c r="H61" s="15" t="n">
        <v>1.02</v>
      </c>
    </row>
    <row r="62" customFormat="false" ht="15" hidden="false" customHeight="false" outlineLevel="0" collapsed="false">
      <c r="A62" s="8" t="s">
        <v>167</v>
      </c>
      <c r="B62" s="8" t="s">
        <v>168</v>
      </c>
      <c r="C62" s="11" t="n">
        <v>469</v>
      </c>
      <c r="D62" s="46" t="n">
        <v>2.84</v>
      </c>
      <c r="E62" s="9" t="n">
        <v>0.176</v>
      </c>
      <c r="F62" s="9" t="n">
        <v>0.484</v>
      </c>
      <c r="G62" s="9" t="n">
        <v>0.219</v>
      </c>
      <c r="H62" s="9" t="n">
        <v>1.588</v>
      </c>
    </row>
    <row r="63" customFormat="false" ht="15" hidden="false" customHeight="false" outlineLevel="0" collapsed="false">
      <c r="A63" s="14" t="s">
        <v>143</v>
      </c>
      <c r="B63" s="14" t="s">
        <v>144</v>
      </c>
      <c r="C63" s="17" t="n">
        <v>395</v>
      </c>
      <c r="D63" s="47" t="n">
        <v>2.39</v>
      </c>
      <c r="E63" s="15" t="n">
        <v>0.245</v>
      </c>
      <c r="F63" s="15" t="n">
        <v>0.336</v>
      </c>
      <c r="G63" s="15" t="n">
        <v>0.222</v>
      </c>
      <c r="H63" s="15" t="n">
        <v>1.784</v>
      </c>
    </row>
    <row r="64" customFormat="false" ht="15" hidden="false" customHeight="false" outlineLevel="0" collapsed="false">
      <c r="A64" s="8" t="s">
        <v>165</v>
      </c>
      <c r="B64" s="8" t="s">
        <v>166</v>
      </c>
      <c r="C64" s="11" t="n">
        <v>379</v>
      </c>
      <c r="D64" s="46" t="n">
        <v>2.29</v>
      </c>
      <c r="E64" s="9" t="n">
        <v>0.314</v>
      </c>
      <c r="F64" s="9" t="n">
        <v>0.239</v>
      </c>
      <c r="G64" s="9" t="n">
        <v>0.208</v>
      </c>
      <c r="H64" s="9" t="n">
        <v>1.709</v>
      </c>
    </row>
    <row r="65" customFormat="false" ht="15" hidden="false" customHeight="false" outlineLevel="0" collapsed="false">
      <c r="A65" s="14" t="s">
        <v>161</v>
      </c>
      <c r="B65" s="14" t="s">
        <v>163</v>
      </c>
      <c r="C65" s="17" t="n">
        <v>366</v>
      </c>
      <c r="D65" s="47" t="n">
        <v>2.21</v>
      </c>
      <c r="E65" s="15" t="n">
        <v>0.414</v>
      </c>
      <c r="F65" s="15" t="n">
        <v>0.131</v>
      </c>
      <c r="G65" s="15" t="n">
        <v>0.156</v>
      </c>
      <c r="H65" s="15" t="n">
        <v>1.296</v>
      </c>
    </row>
    <row r="66" customFormat="false" ht="15" hidden="false" customHeight="false" outlineLevel="0" collapsed="false">
      <c r="A66" s="8" t="s">
        <v>141</v>
      </c>
      <c r="B66" s="8" t="s">
        <v>143</v>
      </c>
      <c r="C66" s="11" t="n">
        <v>359</v>
      </c>
      <c r="D66" s="46" t="n">
        <v>2.17</v>
      </c>
      <c r="E66" s="9" t="n">
        <v>0.436</v>
      </c>
      <c r="F66" s="9" t="n">
        <v>0.222</v>
      </c>
      <c r="G66" s="9" t="n">
        <v>0.261</v>
      </c>
      <c r="H66" s="9" t="n">
        <v>2.158</v>
      </c>
    </row>
    <row r="67" customFormat="false" ht="15" hidden="false" customHeight="false" outlineLevel="0" collapsed="false">
      <c r="A67" s="14" t="s">
        <v>162</v>
      </c>
      <c r="B67" s="14" t="s">
        <v>167</v>
      </c>
      <c r="C67" s="17" t="n">
        <v>336</v>
      </c>
      <c r="D67" s="47" t="n">
        <v>2.03</v>
      </c>
      <c r="E67" s="15" t="n">
        <v>0.221</v>
      </c>
      <c r="F67" s="15" t="n">
        <v>0.126</v>
      </c>
      <c r="G67" s="15" t="n">
        <v>0.052</v>
      </c>
      <c r="H67" s="15" t="n">
        <v>0.455</v>
      </c>
    </row>
    <row r="68" customFormat="false" ht="15" hidden="false" customHeight="false" outlineLevel="0" collapsed="false">
      <c r="A68" s="8" t="s">
        <v>139</v>
      </c>
      <c r="B68" s="8" t="s">
        <v>167</v>
      </c>
      <c r="C68" s="11" t="n">
        <v>336</v>
      </c>
      <c r="D68" s="46" t="n">
        <v>2.03</v>
      </c>
      <c r="E68" s="9" t="n">
        <v>0.117</v>
      </c>
      <c r="F68" s="9" t="n">
        <v>0.126</v>
      </c>
      <c r="G68" s="9" t="n">
        <v>-0.055</v>
      </c>
      <c r="H68" s="9" t="n">
        <v>-0.459</v>
      </c>
    </row>
    <row r="69" customFormat="false" ht="15" hidden="false" customHeight="false" outlineLevel="0" collapsed="false">
      <c r="A69" s="14" t="s">
        <v>158</v>
      </c>
      <c r="B69" s="14" t="s">
        <v>159</v>
      </c>
      <c r="C69" s="17" t="n">
        <v>322</v>
      </c>
      <c r="D69" s="47" t="n">
        <v>1.95</v>
      </c>
      <c r="E69" s="15" t="n">
        <v>0.432</v>
      </c>
      <c r="F69" s="15" t="n">
        <v>0.442</v>
      </c>
      <c r="G69" s="15" t="n">
        <v>0.411</v>
      </c>
      <c r="H69" s="15" t="n">
        <v>3.295</v>
      </c>
    </row>
    <row r="70" customFormat="false" ht="15" hidden="false" customHeight="false" outlineLevel="0" collapsed="false">
      <c r="A70" s="8" t="s">
        <v>165</v>
      </c>
      <c r="B70" s="8" t="s">
        <v>167</v>
      </c>
      <c r="C70" s="11" t="n">
        <v>316</v>
      </c>
      <c r="D70" s="46" t="n">
        <v>1.91</v>
      </c>
      <c r="E70" s="9" t="n">
        <v>0.262</v>
      </c>
      <c r="F70" s="9" t="n">
        <v>0.119</v>
      </c>
      <c r="G70" s="9" t="n">
        <v>0.077</v>
      </c>
      <c r="H70" s="9" t="n">
        <v>0.702</v>
      </c>
    </row>
    <row r="71" customFormat="false" ht="15" hidden="false" customHeight="false" outlineLevel="0" collapsed="false">
      <c r="A71" s="14" t="s">
        <v>160</v>
      </c>
      <c r="B71" s="14" t="s">
        <v>163</v>
      </c>
      <c r="C71" s="17" t="n">
        <v>306</v>
      </c>
      <c r="D71" s="47" t="n">
        <v>1.85</v>
      </c>
      <c r="E71" s="15" t="n">
        <v>0.433</v>
      </c>
      <c r="F71" s="15" t="n">
        <v>0.11</v>
      </c>
      <c r="G71" s="15" t="n">
        <v>0.149</v>
      </c>
      <c r="H71" s="15" t="n">
        <v>1.361</v>
      </c>
    </row>
    <row r="72" customFormat="false" ht="15" hidden="false" customHeight="false" outlineLevel="0" collapsed="false">
      <c r="A72" s="8" t="s">
        <v>139</v>
      </c>
      <c r="B72" s="8" t="s">
        <v>141</v>
      </c>
      <c r="C72" s="11" t="n">
        <v>290</v>
      </c>
      <c r="D72" s="46" t="n">
        <v>1.75</v>
      </c>
      <c r="E72" s="9" t="n">
        <v>0.101</v>
      </c>
      <c r="F72" s="9" t="n">
        <v>0.352</v>
      </c>
      <c r="G72" s="9" t="n">
        <v>0.108</v>
      </c>
      <c r="H72" s="9" t="n">
        <v>1.02</v>
      </c>
    </row>
    <row r="73" customFormat="false" ht="15" hidden="false" customHeight="false" outlineLevel="0" collapsed="false">
      <c r="A73" s="14" t="s">
        <v>147</v>
      </c>
      <c r="B73" s="14" t="s">
        <v>148</v>
      </c>
      <c r="C73" s="17" t="n">
        <v>286</v>
      </c>
      <c r="D73" s="47" t="n">
        <v>1.73</v>
      </c>
      <c r="E73" s="15" t="n">
        <v>0.273</v>
      </c>
      <c r="F73" s="15" t="n">
        <v>0.269</v>
      </c>
      <c r="G73" s="15" t="n">
        <v>0.222</v>
      </c>
      <c r="H73" s="15" t="n">
        <v>2.09</v>
      </c>
    </row>
    <row r="74" customFormat="false" ht="15" hidden="false" customHeight="false" outlineLevel="0" collapsed="false">
      <c r="A74" s="8" t="s">
        <v>143</v>
      </c>
      <c r="B74" s="8" t="s">
        <v>150</v>
      </c>
      <c r="C74" s="11" t="n">
        <v>237</v>
      </c>
      <c r="D74" s="46" t="n">
        <v>1.43</v>
      </c>
      <c r="E74" s="9" t="n">
        <v>0.147</v>
      </c>
      <c r="F74" s="9" t="n">
        <v>0.268</v>
      </c>
      <c r="G74" s="9" t="n">
        <v>0.137</v>
      </c>
      <c r="H74" s="9" t="n">
        <v>1.459</v>
      </c>
    </row>
    <row r="75" customFormat="false" ht="15" hidden="false" customHeight="false" outlineLevel="0" collapsed="false">
      <c r="A75" s="14" t="s">
        <v>144</v>
      </c>
      <c r="B75" s="14" t="s">
        <v>148</v>
      </c>
      <c r="C75" s="17" t="n">
        <v>226</v>
      </c>
      <c r="D75" s="47" t="n">
        <v>1.37</v>
      </c>
      <c r="E75" s="15" t="n">
        <v>0.192</v>
      </c>
      <c r="F75" s="15" t="n">
        <v>0.213</v>
      </c>
      <c r="G75" s="15" t="n">
        <v>0.145</v>
      </c>
      <c r="H75" s="15" t="n">
        <v>1.582</v>
      </c>
    </row>
    <row r="76" customFormat="false" ht="15" hidden="false" customHeight="false" outlineLevel="0" collapsed="false">
      <c r="A76" s="8" t="s">
        <v>144</v>
      </c>
      <c r="B76" s="8" t="s">
        <v>149</v>
      </c>
      <c r="C76" s="11" t="n">
        <v>226</v>
      </c>
      <c r="D76" s="46" t="n">
        <v>1.37</v>
      </c>
      <c r="E76" s="9" t="n">
        <v>0.192</v>
      </c>
      <c r="F76" s="9" t="n">
        <v>0.292</v>
      </c>
      <c r="G76" s="9" t="n">
        <v>0.191</v>
      </c>
      <c r="H76" s="9" t="n">
        <v>2.038</v>
      </c>
    </row>
    <row r="77" customFormat="false" ht="15" hidden="false" customHeight="false" outlineLevel="0" collapsed="false">
      <c r="A77" s="14" t="s">
        <v>148</v>
      </c>
      <c r="B77" s="14" t="s">
        <v>163</v>
      </c>
      <c r="C77" s="17" t="n">
        <v>212</v>
      </c>
      <c r="D77" s="47" t="n">
        <v>1.28</v>
      </c>
      <c r="E77" s="15" t="n">
        <v>0.2</v>
      </c>
      <c r="F77" s="15" t="n">
        <v>0.076</v>
      </c>
      <c r="G77" s="15" t="n">
        <v>0.022</v>
      </c>
      <c r="H77" s="15" t="n">
        <v>0.245</v>
      </c>
    </row>
    <row r="79" customFormat="false" ht="15" hidden="false" customHeight="false" outlineLevel="0" collapsed="false">
      <c r="A79" s="43" t="s">
        <v>731</v>
      </c>
    </row>
    <row r="80" customFormat="false" ht="15" hidden="false" customHeight="false" outlineLevel="0" collapsed="false">
      <c r="A80" s="6" t="s">
        <v>709</v>
      </c>
      <c r="B80" s="6" t="s">
        <v>732</v>
      </c>
      <c r="C80" s="6" t="s">
        <v>733</v>
      </c>
      <c r="D80" s="6" t="s">
        <v>734</v>
      </c>
      <c r="E80" s="6" t="s">
        <v>711</v>
      </c>
      <c r="F80" s="6" t="s">
        <v>710</v>
      </c>
      <c r="G80" s="6" t="s">
        <v>735</v>
      </c>
      <c r="H80" s="6" t="s">
        <v>736</v>
      </c>
      <c r="I80" s="6" t="s">
        <v>737</v>
      </c>
      <c r="J80" s="6" t="s">
        <v>712</v>
      </c>
    </row>
    <row r="81" customFormat="false" ht="15" hidden="false" customHeight="false" outlineLevel="0" collapsed="false">
      <c r="A81" s="8" t="s">
        <v>720</v>
      </c>
      <c r="B81" s="8" t="s">
        <v>738</v>
      </c>
      <c r="C81" s="12" t="n">
        <v>1</v>
      </c>
      <c r="D81" s="12" t="n">
        <v>7</v>
      </c>
      <c r="E81" s="12" t="n">
        <v>11</v>
      </c>
      <c r="F81" s="12" t="n">
        <v>16.05</v>
      </c>
      <c r="G81" s="12" t="n">
        <v>32</v>
      </c>
      <c r="H81" s="12" t="n">
        <v>44</v>
      </c>
      <c r="I81" s="12" t="n">
        <v>84</v>
      </c>
      <c r="J81" s="12" t="n">
        <v>214</v>
      </c>
    </row>
    <row r="82" customFormat="false" ht="15" hidden="false" customHeight="false" outlineLevel="0" collapsed="false">
      <c r="A82" s="14" t="s">
        <v>720</v>
      </c>
      <c r="B82" s="14" t="s">
        <v>739</v>
      </c>
      <c r="C82" s="18" t="n">
        <v>1</v>
      </c>
      <c r="D82" s="18" t="n">
        <v>28</v>
      </c>
      <c r="E82" s="18" t="n">
        <v>47</v>
      </c>
      <c r="F82" s="18" t="n">
        <v>66.51</v>
      </c>
      <c r="G82" s="18" t="n">
        <v>133</v>
      </c>
      <c r="H82" s="18" t="n">
        <v>186</v>
      </c>
      <c r="I82" s="18" t="n">
        <v>355</v>
      </c>
      <c r="J82" s="18" t="n">
        <v>906</v>
      </c>
    </row>
    <row r="83" customFormat="false" ht="15" hidden="false" customHeight="false" outlineLevel="0" collapsed="false">
      <c r="A83" s="8" t="s">
        <v>721</v>
      </c>
      <c r="B83" s="8" t="s">
        <v>738</v>
      </c>
      <c r="C83" s="12" t="n">
        <v>1</v>
      </c>
      <c r="D83" s="12" t="n">
        <v>7</v>
      </c>
      <c r="E83" s="12" t="n">
        <v>12</v>
      </c>
      <c r="F83" s="12" t="n">
        <v>16.06</v>
      </c>
      <c r="G83" s="12" t="n">
        <v>32</v>
      </c>
      <c r="H83" s="12" t="n">
        <v>44</v>
      </c>
      <c r="I83" s="12" t="n">
        <v>88</v>
      </c>
      <c r="J83" s="12" t="n">
        <v>143</v>
      </c>
    </row>
    <row r="84" customFormat="false" ht="15" hidden="false" customHeight="false" outlineLevel="0" collapsed="false">
      <c r="A84" s="14" t="s">
        <v>721</v>
      </c>
      <c r="B84" s="14" t="s">
        <v>739</v>
      </c>
      <c r="C84" s="18" t="n">
        <v>1</v>
      </c>
      <c r="D84" s="18" t="n">
        <v>27</v>
      </c>
      <c r="E84" s="18" t="n">
        <v>47</v>
      </c>
      <c r="F84" s="18" t="n">
        <v>66.54</v>
      </c>
      <c r="G84" s="18" t="n">
        <v>130.5</v>
      </c>
      <c r="H84" s="18" t="n">
        <v>187.75</v>
      </c>
      <c r="I84" s="18" t="n">
        <v>363.4</v>
      </c>
      <c r="J84" s="18" t="n">
        <v>641</v>
      </c>
    </row>
    <row r="85" customFormat="false" ht="15" hidden="false" customHeight="false" outlineLevel="0" collapsed="false">
      <c r="A85" s="8" t="s">
        <v>722</v>
      </c>
      <c r="B85" s="8" t="s">
        <v>738</v>
      </c>
      <c r="C85" s="12" t="n">
        <v>1</v>
      </c>
      <c r="D85" s="12" t="n">
        <v>7</v>
      </c>
      <c r="E85" s="12" t="n">
        <v>11</v>
      </c>
      <c r="F85" s="12" t="n">
        <v>16.82</v>
      </c>
      <c r="G85" s="12" t="n">
        <v>35</v>
      </c>
      <c r="H85" s="12" t="n">
        <v>47</v>
      </c>
      <c r="I85" s="12" t="n">
        <v>90.6799999999998</v>
      </c>
      <c r="J85" s="12" t="n">
        <v>171</v>
      </c>
    </row>
    <row r="86" customFormat="false" ht="15" hidden="false" customHeight="false" outlineLevel="0" collapsed="false">
      <c r="A86" s="14" t="s">
        <v>722</v>
      </c>
      <c r="B86" s="14" t="s">
        <v>739</v>
      </c>
      <c r="C86" s="18" t="n">
        <v>1</v>
      </c>
      <c r="D86" s="18" t="n">
        <v>28</v>
      </c>
      <c r="E86" s="18" t="n">
        <v>47</v>
      </c>
      <c r="F86" s="18" t="n">
        <v>69.58</v>
      </c>
      <c r="G86" s="18" t="n">
        <v>145</v>
      </c>
      <c r="H86" s="18" t="n">
        <v>194</v>
      </c>
      <c r="I86" s="18" t="n">
        <v>380.04</v>
      </c>
      <c r="J86" s="18" t="n">
        <v>694</v>
      </c>
    </row>
    <row r="88" customFormat="false" ht="15" hidden="false" customHeight="false" outlineLevel="0" collapsed="false">
      <c r="A88" s="43" t="s">
        <v>740</v>
      </c>
    </row>
    <row r="89" customFormat="false" ht="15" hidden="false" customHeight="false" outlineLevel="0" collapsed="false">
      <c r="A89" s="6" t="s">
        <v>741</v>
      </c>
      <c r="B89" s="6" t="s">
        <v>742</v>
      </c>
      <c r="C89" s="6" t="s">
        <v>743</v>
      </c>
    </row>
    <row r="90" customFormat="false" ht="15" hidden="false" customHeight="false" outlineLevel="0" collapsed="false">
      <c r="A90" s="8" t="s">
        <v>744</v>
      </c>
      <c r="B90" s="11" t="n">
        <v>5153</v>
      </c>
      <c r="C90" s="46" t="n">
        <v>0.2494</v>
      </c>
    </row>
    <row r="91" customFormat="false" ht="15" hidden="false" customHeight="false" outlineLevel="0" collapsed="false">
      <c r="A91" s="14" t="s">
        <v>745</v>
      </c>
      <c r="B91" s="17" t="n">
        <v>1980</v>
      </c>
      <c r="C91" s="47" t="n">
        <v>0.0958</v>
      </c>
    </row>
    <row r="92" customFormat="false" ht="15" hidden="false" customHeight="false" outlineLevel="0" collapsed="false">
      <c r="A92" s="8" t="s">
        <v>746</v>
      </c>
      <c r="B92" s="11" t="n">
        <v>2385</v>
      </c>
      <c r="C92" s="46" t="n">
        <v>0.1154</v>
      </c>
    </row>
    <row r="93" customFormat="false" ht="15" hidden="false" customHeight="false" outlineLevel="0" collapsed="false">
      <c r="A93" s="14" t="s">
        <v>747</v>
      </c>
      <c r="B93" s="17" t="n">
        <v>6559</v>
      </c>
      <c r="C93" s="47" t="n">
        <v>0.3174</v>
      </c>
    </row>
    <row r="94" customFormat="false" ht="15" hidden="false" customHeight="false" outlineLevel="0" collapsed="false">
      <c r="A94" s="8" t="s">
        <v>748</v>
      </c>
      <c r="B94" s="11" t="n">
        <v>4862</v>
      </c>
      <c r="C94" s="46" t="n">
        <v>0.2353</v>
      </c>
    </row>
    <row r="95" customFormat="false" ht="15" hidden="false" customHeight="false" outlineLevel="0" collapsed="false">
      <c r="A95" s="14" t="s">
        <v>749</v>
      </c>
      <c r="B95" s="17" t="n">
        <v>432</v>
      </c>
      <c r="C95" s="47" t="n">
        <v>0.0209</v>
      </c>
    </row>
    <row r="96" customFormat="false" ht="15" hidden="false" customHeight="false" outlineLevel="0" collapsed="false">
      <c r="A96" s="8" t="s">
        <v>750</v>
      </c>
      <c r="B96" s="11" t="n">
        <v>1535</v>
      </c>
      <c r="C96" s="46" t="n">
        <v>0.0743</v>
      </c>
    </row>
    <row r="97" customFormat="false" ht="15" hidden="false" customHeight="false" outlineLevel="0" collapsed="false">
      <c r="A97" s="14" t="s">
        <v>751</v>
      </c>
      <c r="B97" s="17" t="n">
        <v>684</v>
      </c>
      <c r="C97" s="47" t="n">
        <v>0.0331</v>
      </c>
    </row>
    <row r="98" customFormat="false" ht="15" hidden="false" customHeight="false" outlineLevel="0" collapsed="false">
      <c r="A98" s="8" t="s">
        <v>752</v>
      </c>
      <c r="B98" s="11" t="n">
        <v>727</v>
      </c>
      <c r="C98" s="46" t="n">
        <v>0.0352</v>
      </c>
    </row>
    <row r="99" customFormat="false" ht="15" hidden="false" customHeight="false" outlineLevel="0" collapsed="false">
      <c r="A99" s="14" t="s">
        <v>753</v>
      </c>
      <c r="B99" s="17" t="n">
        <v>0</v>
      </c>
      <c r="C99" s="47" t="n">
        <v>0</v>
      </c>
    </row>
    <row r="100" customFormat="false" ht="15" hidden="false" customHeight="false" outlineLevel="0" collapsed="false">
      <c r="A100" s="8" t="s">
        <v>754</v>
      </c>
      <c r="B100" s="11" t="n">
        <v>29</v>
      </c>
      <c r="C100" s="46" t="n">
        <v>0.0014</v>
      </c>
    </row>
    <row r="101" customFormat="false" ht="15" hidden="false" customHeight="false" outlineLevel="0" collapsed="false">
      <c r="A101" s="14" t="s">
        <v>755</v>
      </c>
      <c r="B101" s="17" t="n">
        <v>291</v>
      </c>
      <c r="C101" s="47" t="n">
        <v>0.0141</v>
      </c>
    </row>
    <row r="102" customFormat="false" ht="15" hidden="false" customHeight="false" outlineLevel="0" collapsed="false">
      <c r="A102" s="8" t="s">
        <v>756</v>
      </c>
      <c r="B102" s="11" t="n">
        <v>139</v>
      </c>
      <c r="C102" s="46" t="n">
        <v>0.0067</v>
      </c>
    </row>
    <row r="103" customFormat="false" ht="15" hidden="false" customHeight="false" outlineLevel="0" collapsed="false">
      <c r="A103" s="14" t="s">
        <v>757</v>
      </c>
      <c r="B103" s="17" t="n">
        <v>631</v>
      </c>
      <c r="C103" s="47" t="n">
        <v>0.0305</v>
      </c>
    </row>
    <row r="104" customFormat="false" ht="15" hidden="false" customHeight="false" outlineLevel="0" collapsed="false">
      <c r="A104" s="8" t="s">
        <v>758</v>
      </c>
      <c r="B104" s="11" t="n">
        <v>614</v>
      </c>
      <c r="C104" s="46" t="n">
        <v>0.0297</v>
      </c>
    </row>
    <row r="105" customFormat="false" ht="15" hidden="false" customHeight="false" outlineLevel="0" collapsed="false">
      <c r="A105" s="14" t="s">
        <v>759</v>
      </c>
      <c r="B105" s="17" t="n">
        <v>1048</v>
      </c>
      <c r="C105" s="47" t="n">
        <v>0.0507</v>
      </c>
    </row>
    <row r="107" customFormat="false" ht="15" hidden="false" customHeight="false" outlineLevel="0" collapsed="false">
      <c r="A107" s="43" t="s">
        <v>760</v>
      </c>
    </row>
    <row r="108" customFormat="false" ht="15" hidden="false" customHeight="false" outlineLevel="0" collapsed="false">
      <c r="A108" s="6" t="s">
        <v>761</v>
      </c>
      <c r="B108" s="6" t="s">
        <v>762</v>
      </c>
      <c r="C108" s="6" t="s">
        <v>301</v>
      </c>
    </row>
    <row r="109" customFormat="false" ht="15" hidden="false" customHeight="false" outlineLevel="0" collapsed="false">
      <c r="A109" s="8" t="s">
        <v>763</v>
      </c>
      <c r="B109" s="8" t="s">
        <v>764</v>
      </c>
      <c r="C109" s="11" t="n">
        <v>1618</v>
      </c>
    </row>
    <row r="110" customFormat="false" ht="15" hidden="false" customHeight="false" outlineLevel="0" collapsed="false">
      <c r="A110" s="14" t="s">
        <v>765</v>
      </c>
      <c r="B110" s="14" t="s">
        <v>766</v>
      </c>
      <c r="C110" s="17" t="n">
        <v>1096</v>
      </c>
    </row>
    <row r="111" customFormat="false" ht="15" hidden="false" customHeight="false" outlineLevel="0" collapsed="false">
      <c r="A111" s="8" t="s">
        <v>767</v>
      </c>
      <c r="B111" s="8" t="s">
        <v>764</v>
      </c>
      <c r="C111" s="11" t="n">
        <v>965</v>
      </c>
    </row>
    <row r="112" customFormat="false" ht="15" hidden="false" customHeight="false" outlineLevel="0" collapsed="false">
      <c r="A112" s="14" t="s">
        <v>768</v>
      </c>
      <c r="B112" s="14" t="s">
        <v>769</v>
      </c>
      <c r="C112" s="17" t="n">
        <v>695</v>
      </c>
    </row>
    <row r="113" customFormat="false" ht="15" hidden="false" customHeight="false" outlineLevel="0" collapsed="false">
      <c r="A113" s="8" t="s">
        <v>770</v>
      </c>
      <c r="B113" s="8" t="s">
        <v>771</v>
      </c>
      <c r="C113" s="11" t="n">
        <v>598</v>
      </c>
    </row>
    <row r="114" customFormat="false" ht="15" hidden="false" customHeight="false" outlineLevel="0" collapsed="false">
      <c r="A114" s="14" t="s">
        <v>772</v>
      </c>
      <c r="B114" s="14" t="s">
        <v>773</v>
      </c>
      <c r="C114" s="17" t="n">
        <v>487</v>
      </c>
    </row>
    <row r="115" customFormat="false" ht="15" hidden="false" customHeight="false" outlineLevel="0" collapsed="false">
      <c r="A115" s="8" t="s">
        <v>774</v>
      </c>
      <c r="B115" s="8" t="s">
        <v>775</v>
      </c>
      <c r="C115" s="11" t="n">
        <v>404</v>
      </c>
    </row>
    <row r="116" customFormat="false" ht="15" hidden="false" customHeight="false" outlineLevel="0" collapsed="false">
      <c r="A116" s="14" t="s">
        <v>776</v>
      </c>
      <c r="B116" s="14" t="s">
        <v>777</v>
      </c>
      <c r="C116" s="17" t="n">
        <v>299</v>
      </c>
    </row>
    <row r="117" customFormat="false" ht="15" hidden="false" customHeight="false" outlineLevel="0" collapsed="false">
      <c r="A117" s="8" t="s">
        <v>778</v>
      </c>
      <c r="B117" s="8" t="s">
        <v>779</v>
      </c>
      <c r="C117" s="11" t="n">
        <v>290</v>
      </c>
    </row>
    <row r="118" customFormat="false" ht="15" hidden="false" customHeight="false" outlineLevel="0" collapsed="false">
      <c r="A118" s="14" t="s">
        <v>780</v>
      </c>
      <c r="B118" s="14" t="s">
        <v>781</v>
      </c>
      <c r="C118" s="17" t="n">
        <v>259</v>
      </c>
    </row>
    <row r="119" customFormat="false" ht="15" hidden="false" customHeight="false" outlineLevel="0" collapsed="false">
      <c r="A119" s="8" t="s">
        <v>782</v>
      </c>
      <c r="B119" s="8" t="s">
        <v>783</v>
      </c>
      <c r="C119" s="11" t="n">
        <v>220</v>
      </c>
    </row>
    <row r="120" customFormat="false" ht="15" hidden="false" customHeight="false" outlineLevel="0" collapsed="false">
      <c r="A120" s="14" t="s">
        <v>784</v>
      </c>
      <c r="B120" s="14" t="s">
        <v>785</v>
      </c>
      <c r="C120" s="17" t="n">
        <v>211</v>
      </c>
    </row>
    <row r="121" customFormat="false" ht="15" hidden="false" customHeight="false" outlineLevel="0" collapsed="false">
      <c r="A121" s="8" t="s">
        <v>786</v>
      </c>
      <c r="B121" s="8" t="s">
        <v>787</v>
      </c>
      <c r="C121" s="11" t="n">
        <v>210</v>
      </c>
    </row>
    <row r="122" customFormat="false" ht="15" hidden="false" customHeight="false" outlineLevel="0" collapsed="false">
      <c r="A122" s="14" t="s">
        <v>788</v>
      </c>
      <c r="B122" s="14" t="s">
        <v>771</v>
      </c>
      <c r="C122" s="17" t="n">
        <v>206</v>
      </c>
    </row>
    <row r="123" customFormat="false" ht="15" hidden="false" customHeight="false" outlineLevel="0" collapsed="false">
      <c r="A123" s="8" t="s">
        <v>789</v>
      </c>
      <c r="B123" s="8" t="s">
        <v>790</v>
      </c>
      <c r="C123" s="11" t="n">
        <v>196</v>
      </c>
    </row>
    <row r="124" customFormat="false" ht="15" hidden="false" customHeight="false" outlineLevel="0" collapsed="false">
      <c r="A124" s="14" t="s">
        <v>791</v>
      </c>
      <c r="B124" s="14" t="s">
        <v>792</v>
      </c>
      <c r="C124" s="17" t="n">
        <v>177</v>
      </c>
    </row>
    <row r="125" customFormat="false" ht="15" hidden="false" customHeight="false" outlineLevel="0" collapsed="false">
      <c r="A125" s="8" t="s">
        <v>793</v>
      </c>
      <c r="B125" s="8" t="s">
        <v>794</v>
      </c>
      <c r="C125" s="11" t="n">
        <v>177</v>
      </c>
    </row>
    <row r="126" customFormat="false" ht="15" hidden="false" customHeight="false" outlineLevel="0" collapsed="false">
      <c r="A126" s="14" t="s">
        <v>795</v>
      </c>
      <c r="B126" s="14" t="s">
        <v>796</v>
      </c>
      <c r="C126" s="17" t="n">
        <v>165</v>
      </c>
    </row>
    <row r="127" customFormat="false" ht="15" hidden="false" customHeight="false" outlineLevel="0" collapsed="false">
      <c r="A127" s="8" t="s">
        <v>797</v>
      </c>
      <c r="B127" s="8" t="s">
        <v>798</v>
      </c>
      <c r="C127" s="11" t="n">
        <v>132</v>
      </c>
    </row>
    <row r="128" customFormat="false" ht="15" hidden="false" customHeight="false" outlineLevel="0" collapsed="false">
      <c r="A128" s="14" t="s">
        <v>799</v>
      </c>
      <c r="B128" s="14" t="s">
        <v>764</v>
      </c>
      <c r="C128" s="17" t="n">
        <v>132</v>
      </c>
    </row>
    <row r="129" customFormat="false" ht="15" hidden="false" customHeight="false" outlineLevel="0" collapsed="false">
      <c r="A129" s="8" t="s">
        <v>800</v>
      </c>
      <c r="B129" s="8" t="s">
        <v>801</v>
      </c>
      <c r="C129" s="11" t="n">
        <v>122</v>
      </c>
    </row>
    <row r="130" customFormat="false" ht="15" hidden="false" customHeight="false" outlineLevel="0" collapsed="false">
      <c r="A130" s="14" t="s">
        <v>802</v>
      </c>
      <c r="B130" s="14" t="s">
        <v>803</v>
      </c>
      <c r="C130" s="17" t="n">
        <v>118</v>
      </c>
    </row>
    <row r="131" customFormat="false" ht="15" hidden="false" customHeight="false" outlineLevel="0" collapsed="false">
      <c r="A131" s="8" t="s">
        <v>804</v>
      </c>
      <c r="B131" s="8" t="s">
        <v>805</v>
      </c>
      <c r="C131" s="11" t="n">
        <v>115</v>
      </c>
    </row>
    <row r="132" customFormat="false" ht="15" hidden="false" customHeight="false" outlineLevel="0" collapsed="false">
      <c r="A132" s="14" t="s">
        <v>806</v>
      </c>
      <c r="B132" s="14" t="s">
        <v>807</v>
      </c>
      <c r="C132" s="17" t="n">
        <v>103</v>
      </c>
    </row>
    <row r="133" customFormat="false" ht="15" hidden="false" customHeight="false" outlineLevel="0" collapsed="false">
      <c r="A133" s="8" t="s">
        <v>808</v>
      </c>
      <c r="B133" s="8" t="s">
        <v>809</v>
      </c>
      <c r="C133" s="11" t="n">
        <v>102</v>
      </c>
    </row>
    <row r="134" customFormat="false" ht="15" hidden="false" customHeight="false" outlineLevel="0" collapsed="false">
      <c r="A134" s="14" t="s">
        <v>810</v>
      </c>
      <c r="B134" s="14" t="s">
        <v>811</v>
      </c>
      <c r="C134" s="17" t="n">
        <v>98</v>
      </c>
    </row>
    <row r="135" customFormat="false" ht="15" hidden="false" customHeight="false" outlineLevel="0" collapsed="false">
      <c r="A135" s="8" t="s">
        <v>812</v>
      </c>
      <c r="B135" s="8" t="s">
        <v>813</v>
      </c>
      <c r="C135" s="11" t="n">
        <v>97</v>
      </c>
    </row>
    <row r="136" customFormat="false" ht="15" hidden="false" customHeight="false" outlineLevel="0" collapsed="false">
      <c r="A136" s="14" t="s">
        <v>814</v>
      </c>
      <c r="B136" s="14" t="s">
        <v>815</v>
      </c>
      <c r="C136" s="17" t="n">
        <v>90</v>
      </c>
    </row>
    <row r="137" customFormat="false" ht="15" hidden="false" customHeight="false" outlineLevel="0" collapsed="false">
      <c r="A137" s="8" t="s">
        <v>816</v>
      </c>
      <c r="B137" s="8" t="s">
        <v>817</v>
      </c>
      <c r="C137" s="11" t="n">
        <v>85</v>
      </c>
    </row>
    <row r="138" customFormat="false" ht="15" hidden="false" customHeight="false" outlineLevel="0" collapsed="false">
      <c r="A138" s="14" t="s">
        <v>304</v>
      </c>
      <c r="B138" s="14" t="s">
        <v>818</v>
      </c>
      <c r="C138" s="17" t="n">
        <v>80</v>
      </c>
    </row>
    <row r="139" customFormat="false" ht="15" hidden="false" customHeight="false" outlineLevel="0" collapsed="false">
      <c r="A139" s="8" t="s">
        <v>819</v>
      </c>
      <c r="B139" s="8" t="s">
        <v>796</v>
      </c>
      <c r="C139" s="11" t="n">
        <v>80</v>
      </c>
    </row>
    <row r="140" customFormat="false" ht="15" hidden="false" customHeight="false" outlineLevel="0" collapsed="false">
      <c r="A140" s="14" t="s">
        <v>820</v>
      </c>
      <c r="B140" s="14" t="s">
        <v>821</v>
      </c>
      <c r="C140" s="17" t="n">
        <v>78</v>
      </c>
    </row>
    <row r="141" customFormat="false" ht="15" hidden="false" customHeight="false" outlineLevel="0" collapsed="false">
      <c r="A141" s="8" t="s">
        <v>822</v>
      </c>
      <c r="B141" s="8" t="s">
        <v>823</v>
      </c>
      <c r="C141" s="11" t="n">
        <v>77</v>
      </c>
    </row>
    <row r="142" customFormat="false" ht="15" hidden="false" customHeight="false" outlineLevel="0" collapsed="false">
      <c r="A142" s="14" t="s">
        <v>824</v>
      </c>
      <c r="B142" s="14" t="s">
        <v>777</v>
      </c>
      <c r="C142" s="17" t="n">
        <v>76</v>
      </c>
    </row>
    <row r="143" customFormat="false" ht="15" hidden="false" customHeight="false" outlineLevel="0" collapsed="false">
      <c r="A143" s="8" t="s">
        <v>825</v>
      </c>
      <c r="B143" s="8" t="s">
        <v>826</v>
      </c>
      <c r="C143" s="11" t="n">
        <v>75</v>
      </c>
    </row>
    <row r="144" customFormat="false" ht="15" hidden="false" customHeight="false" outlineLevel="0" collapsed="false">
      <c r="A144" s="14" t="s">
        <v>827</v>
      </c>
      <c r="B144" s="14" t="s">
        <v>828</v>
      </c>
      <c r="C144" s="17" t="n">
        <v>71</v>
      </c>
    </row>
    <row r="145" customFormat="false" ht="15" hidden="false" customHeight="false" outlineLevel="0" collapsed="false">
      <c r="A145" s="8" t="s">
        <v>829</v>
      </c>
      <c r="B145" s="8" t="s">
        <v>830</v>
      </c>
      <c r="C145" s="11" t="n">
        <v>69</v>
      </c>
    </row>
    <row r="146" customFormat="false" ht="15" hidden="false" customHeight="false" outlineLevel="0" collapsed="false">
      <c r="A146" s="14" t="s">
        <v>831</v>
      </c>
      <c r="B146" s="14" t="s">
        <v>832</v>
      </c>
      <c r="C146" s="17" t="n">
        <v>65</v>
      </c>
    </row>
    <row r="147" customFormat="false" ht="15" hidden="false" customHeight="false" outlineLevel="0" collapsed="false">
      <c r="A147" s="8" t="s">
        <v>833</v>
      </c>
      <c r="B147" s="8" t="s">
        <v>801</v>
      </c>
      <c r="C147" s="11" t="n">
        <v>62</v>
      </c>
    </row>
    <row r="148" customFormat="false" ht="15" hidden="false" customHeight="false" outlineLevel="0" collapsed="false">
      <c r="A148" s="14" t="s">
        <v>834</v>
      </c>
      <c r="B148" s="14" t="s">
        <v>835</v>
      </c>
      <c r="C148" s="17" t="n">
        <v>62</v>
      </c>
    </row>
    <row r="150" customFormat="false" ht="15" hidden="false" customHeight="false" outlineLevel="0" collapsed="false">
      <c r="A150" s="43" t="s">
        <v>836</v>
      </c>
    </row>
    <row r="151" customFormat="false" ht="15" hidden="false" customHeight="false" outlineLevel="0" collapsed="false">
      <c r="A151" s="6" t="s">
        <v>134</v>
      </c>
      <c r="B151" s="6" t="s">
        <v>837</v>
      </c>
    </row>
    <row r="152" customFormat="false" ht="15" hidden="false" customHeight="false" outlineLevel="0" collapsed="false">
      <c r="A152" s="8" t="s">
        <v>144</v>
      </c>
      <c r="B152" s="46" t="n">
        <v>0.488</v>
      </c>
    </row>
    <row r="153" customFormat="false" ht="15" hidden="false" customHeight="false" outlineLevel="0" collapsed="false">
      <c r="A153" s="14" t="s">
        <v>149</v>
      </c>
      <c r="B153" s="47" t="n">
        <v>0.444</v>
      </c>
    </row>
    <row r="154" customFormat="false" ht="15" hidden="false" customHeight="false" outlineLevel="0" collapsed="false">
      <c r="A154" s="8" t="s">
        <v>139</v>
      </c>
      <c r="B154" s="46" t="n">
        <v>0.408</v>
      </c>
    </row>
    <row r="155" customFormat="false" ht="15" hidden="false" customHeight="false" outlineLevel="0" collapsed="false">
      <c r="A155" s="14" t="s">
        <v>161</v>
      </c>
      <c r="B155" s="47" t="n">
        <v>0.384</v>
      </c>
    </row>
    <row r="156" customFormat="false" ht="15" hidden="false" customHeight="false" outlineLevel="0" collapsed="false">
      <c r="A156" s="8" t="s">
        <v>152</v>
      </c>
      <c r="B156" s="46" t="n">
        <v>0.383</v>
      </c>
    </row>
    <row r="157" customFormat="false" ht="15" hidden="false" customHeight="false" outlineLevel="0" collapsed="false">
      <c r="A157" s="14" t="s">
        <v>143</v>
      </c>
      <c r="B157" s="47" t="n">
        <v>0.371</v>
      </c>
    </row>
    <row r="158" customFormat="false" ht="15" hidden="false" customHeight="false" outlineLevel="0" collapsed="false">
      <c r="A158" s="8" t="s">
        <v>164</v>
      </c>
      <c r="B158" s="46" t="n">
        <v>0.351</v>
      </c>
    </row>
    <row r="159" customFormat="false" ht="15" hidden="false" customHeight="false" outlineLevel="0" collapsed="false">
      <c r="A159" s="14" t="s">
        <v>160</v>
      </c>
      <c r="B159" s="47" t="n">
        <v>0.335</v>
      </c>
    </row>
    <row r="160" customFormat="false" ht="15" hidden="false" customHeight="false" outlineLevel="0" collapsed="false">
      <c r="A160" s="8" t="s">
        <v>163</v>
      </c>
      <c r="B160" s="46" t="n">
        <v>0.317</v>
      </c>
    </row>
    <row r="161" customFormat="false" ht="15" hidden="false" customHeight="false" outlineLevel="0" collapsed="false">
      <c r="A161" s="14" t="s">
        <v>141</v>
      </c>
      <c r="B161" s="47" t="n">
        <v>0.309</v>
      </c>
    </row>
    <row r="162" customFormat="false" ht="15" hidden="false" customHeight="false" outlineLevel="0" collapsed="false">
      <c r="A162" s="8" t="s">
        <v>151</v>
      </c>
      <c r="B162" s="46" t="n">
        <v>0.284</v>
      </c>
    </row>
    <row r="163" customFormat="false" ht="15" hidden="false" customHeight="false" outlineLevel="0" collapsed="false">
      <c r="A163" s="14" t="s">
        <v>147</v>
      </c>
      <c r="B163" s="47" t="n">
        <v>0.252</v>
      </c>
    </row>
    <row r="164" customFormat="false" ht="15" hidden="false" customHeight="false" outlineLevel="0" collapsed="false">
      <c r="A164" s="8" t="s">
        <v>145</v>
      </c>
      <c r="B164" s="46" t="n">
        <v>0.252</v>
      </c>
    </row>
    <row r="165" customFormat="false" ht="15" hidden="false" customHeight="false" outlineLevel="0" collapsed="false">
      <c r="A165" s="14" t="s">
        <v>153</v>
      </c>
      <c r="B165" s="47" t="n">
        <v>0.249</v>
      </c>
    </row>
    <row r="166" customFormat="false" ht="15" hidden="false" customHeight="false" outlineLevel="0" collapsed="false">
      <c r="A166" s="8" t="s">
        <v>159</v>
      </c>
      <c r="B166" s="46" t="n">
        <v>0.236</v>
      </c>
    </row>
    <row r="167" customFormat="false" ht="15" hidden="false" customHeight="false" outlineLevel="0" collapsed="false">
      <c r="A167" s="14" t="s">
        <v>158</v>
      </c>
      <c r="B167" s="47" t="n">
        <v>0.234</v>
      </c>
    </row>
    <row r="168" customFormat="false" ht="15" hidden="false" customHeight="false" outlineLevel="0" collapsed="false">
      <c r="A168" s="8" t="s">
        <v>162</v>
      </c>
      <c r="B168" s="46" t="n">
        <v>0.231</v>
      </c>
    </row>
    <row r="169" customFormat="false" ht="15" hidden="false" customHeight="false" outlineLevel="0" collapsed="false">
      <c r="A169" s="14" t="s">
        <v>148</v>
      </c>
      <c r="B169" s="47" t="n">
        <v>0.201</v>
      </c>
    </row>
    <row r="170" customFormat="false" ht="15" hidden="false" customHeight="false" outlineLevel="0" collapsed="false">
      <c r="A170" s="8" t="s">
        <v>157</v>
      </c>
      <c r="B170" s="46" t="n">
        <v>0.198</v>
      </c>
    </row>
    <row r="171" customFormat="false" ht="15" hidden="false" customHeight="false" outlineLevel="0" collapsed="false">
      <c r="A171" s="14" t="s">
        <v>155</v>
      </c>
      <c r="B171" s="47" t="n">
        <v>0.19</v>
      </c>
    </row>
    <row r="172" customFormat="false" ht="15" hidden="false" customHeight="false" outlineLevel="0" collapsed="false">
      <c r="A172" s="8" t="s">
        <v>150</v>
      </c>
      <c r="B172" s="46" t="n">
        <v>0.185</v>
      </c>
    </row>
    <row r="173" customFormat="false" ht="15" hidden="false" customHeight="false" outlineLevel="0" collapsed="false">
      <c r="A173" s="14" t="s">
        <v>167</v>
      </c>
      <c r="B173" s="47" t="n">
        <v>0.162</v>
      </c>
    </row>
    <row r="174" customFormat="false" ht="15" hidden="false" customHeight="false" outlineLevel="0" collapsed="false">
      <c r="A174" s="8" t="s">
        <v>165</v>
      </c>
      <c r="B174" s="46" t="n">
        <v>0.155</v>
      </c>
    </row>
    <row r="175" customFormat="false" ht="15" hidden="false" customHeight="false" outlineLevel="0" collapsed="false">
      <c r="A175" s="14" t="s">
        <v>154</v>
      </c>
      <c r="B175" s="47" t="n">
        <v>0.138</v>
      </c>
    </row>
    <row r="176" customFormat="false" ht="15" hidden="false" customHeight="false" outlineLevel="0" collapsed="false">
      <c r="A176" s="8" t="s">
        <v>168</v>
      </c>
      <c r="B176" s="46" t="n">
        <v>0.129</v>
      </c>
    </row>
    <row r="177" customFormat="false" ht="15" hidden="false" customHeight="false" outlineLevel="0" collapsed="false">
      <c r="A177" s="14" t="s">
        <v>156</v>
      </c>
      <c r="B177" s="47" t="n">
        <v>0.12</v>
      </c>
    </row>
    <row r="178" customFormat="false" ht="15" hidden="false" customHeight="false" outlineLevel="0" collapsed="false">
      <c r="A178" s="8" t="s">
        <v>166</v>
      </c>
      <c r="B178" s="46" t="n">
        <v>0.114</v>
      </c>
    </row>
    <row r="179" customFormat="false" ht="15" hidden="false" customHeight="false" outlineLevel="0" collapsed="false">
      <c r="A179" s="14" t="s">
        <v>169</v>
      </c>
      <c r="B179" s="47" t="n">
        <v>0.071</v>
      </c>
    </row>
    <row r="181" customFormat="false" ht="15" hidden="false" customHeight="false" outlineLevel="0" collapsed="false">
      <c r="A181" s="43" t="s">
        <v>838</v>
      </c>
    </row>
    <row r="182" customFormat="false" ht="15" hidden="false" customHeight="false" outlineLevel="0" collapsed="false">
      <c r="A182" s="6" t="s">
        <v>115</v>
      </c>
      <c r="B182" s="6" t="s">
        <v>720</v>
      </c>
      <c r="C182" s="6" t="s">
        <v>721</v>
      </c>
      <c r="D182" s="6" t="s">
        <v>722</v>
      </c>
      <c r="E182" s="6" t="s">
        <v>839</v>
      </c>
      <c r="F182" s="6" t="s">
        <v>743</v>
      </c>
    </row>
    <row r="183" customFormat="false" ht="15" hidden="false" customHeight="false" outlineLevel="0" collapsed="false">
      <c r="A183" s="8" t="s">
        <v>840</v>
      </c>
      <c r="B183" s="11" t="n">
        <v>10741</v>
      </c>
      <c r="C183" s="33" t="n">
        <v>1339</v>
      </c>
      <c r="D183" s="33" t="n">
        <v>1364</v>
      </c>
      <c r="E183" s="11" t="n">
        <v>13444</v>
      </c>
      <c r="F183" s="46" t="n">
        <v>0.6506</v>
      </c>
    </row>
    <row r="184" customFormat="false" ht="15" hidden="false" customHeight="false" outlineLevel="0" collapsed="false">
      <c r="A184" s="14" t="s">
        <v>841</v>
      </c>
      <c r="B184" s="17" t="n">
        <v>3609</v>
      </c>
      <c r="C184" s="35" t="n">
        <v>463</v>
      </c>
      <c r="D184" s="35" t="n">
        <v>436</v>
      </c>
      <c r="E184" s="17" t="n">
        <v>4508</v>
      </c>
      <c r="F184" s="47" t="n">
        <v>0.2182</v>
      </c>
    </row>
    <row r="185" customFormat="false" ht="15" hidden="false" customHeight="false" outlineLevel="0" collapsed="false">
      <c r="A185" s="8" t="s">
        <v>842</v>
      </c>
      <c r="B185" s="11" t="n">
        <v>1563</v>
      </c>
      <c r="C185" s="33" t="n">
        <v>199</v>
      </c>
      <c r="D185" s="33" t="n">
        <v>198</v>
      </c>
      <c r="E185" s="11" t="n">
        <v>1960</v>
      </c>
      <c r="F185" s="46" t="n">
        <v>0.0949</v>
      </c>
    </row>
    <row r="186" customFormat="false" ht="15" hidden="false" customHeight="false" outlineLevel="0" collapsed="false">
      <c r="A186" s="14" t="s">
        <v>843</v>
      </c>
      <c r="B186" s="17" t="n">
        <v>430</v>
      </c>
      <c r="C186" s="35" t="n">
        <v>48</v>
      </c>
      <c r="D186" s="35" t="n">
        <v>46</v>
      </c>
      <c r="E186" s="17" t="n">
        <v>524</v>
      </c>
      <c r="F186" s="47" t="n">
        <v>0.0254</v>
      </c>
    </row>
    <row r="187" customFormat="false" ht="15" hidden="false" customHeight="false" outlineLevel="0" collapsed="false">
      <c r="A187" s="8" t="s">
        <v>844</v>
      </c>
      <c r="B187" s="11" t="n">
        <v>140</v>
      </c>
      <c r="C187" s="33" t="n">
        <v>13</v>
      </c>
      <c r="D187" s="33" t="n">
        <v>14</v>
      </c>
      <c r="E187" s="11" t="n">
        <v>167</v>
      </c>
      <c r="F187" s="46" t="n">
        <v>0.0081</v>
      </c>
    </row>
    <row r="188" customFormat="false" ht="15" hidden="false" customHeight="false" outlineLevel="0" collapsed="false">
      <c r="A188" s="14" t="s">
        <v>845</v>
      </c>
      <c r="B188" s="17" t="n">
        <v>48</v>
      </c>
      <c r="C188" s="35" t="n">
        <v>4</v>
      </c>
      <c r="D188" s="35" t="n">
        <v>9</v>
      </c>
      <c r="E188" s="17" t="n">
        <v>61</v>
      </c>
      <c r="F188" s="47" t="n">
        <v>0.003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4" min="3" style="0" width="2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2" min="11" style="0" width="20"/>
    <col collapsed="false" customWidth="true" hidden="false" outlineLevel="0" max="13" min="13" style="0" width="14"/>
    <col collapsed="false" customWidth="true" hidden="false" outlineLevel="0" max="14" min="14" style="0" width="20"/>
  </cols>
  <sheetData>
    <row r="1" customFormat="false" ht="17.35" hidden="false" customHeight="false" outlineLevel="0" collapsed="false">
      <c r="A1" s="1" t="s">
        <v>846</v>
      </c>
    </row>
    <row r="2" customFormat="false" ht="15" hidden="false" customHeight="false" outlineLevel="0" collapsed="false">
      <c r="A2" s="2" t="s">
        <v>847</v>
      </c>
    </row>
    <row r="4" customFormat="false" ht="15" hidden="false" customHeight="false" outlineLevel="0" collapsed="false">
      <c r="A4" s="43" t="s">
        <v>848</v>
      </c>
    </row>
    <row r="5" customFormat="false" ht="15" hidden="false" customHeight="false" outlineLevel="0" collapsed="false">
      <c r="A5" s="6" t="s">
        <v>849</v>
      </c>
      <c r="B5" s="6" t="s">
        <v>850</v>
      </c>
      <c r="C5" s="6" t="s">
        <v>851</v>
      </c>
      <c r="D5" s="6" t="s">
        <v>852</v>
      </c>
      <c r="E5" s="6" t="s">
        <v>853</v>
      </c>
      <c r="F5" s="6" t="s">
        <v>854</v>
      </c>
      <c r="G5" s="6" t="s">
        <v>855</v>
      </c>
      <c r="H5" s="6" t="s">
        <v>856</v>
      </c>
      <c r="I5" s="6" t="s">
        <v>857</v>
      </c>
      <c r="J5" s="6" t="s">
        <v>858</v>
      </c>
      <c r="K5" s="6" t="s">
        <v>859</v>
      </c>
      <c r="L5" s="6" t="s">
        <v>860</v>
      </c>
      <c r="M5" s="6" t="s">
        <v>861</v>
      </c>
      <c r="N5" s="6" t="s">
        <v>862</v>
      </c>
    </row>
    <row r="6" customFormat="false" ht="15" hidden="false" customHeight="false" outlineLevel="0" collapsed="false">
      <c r="A6" s="8" t="s">
        <v>863</v>
      </c>
      <c r="B6" s="11" t="n">
        <v>16531</v>
      </c>
      <c r="C6" s="48" t="n">
        <v>0.0006596380575716</v>
      </c>
      <c r="D6" s="48" t="n">
        <v>0.0007604985652423</v>
      </c>
      <c r="E6" s="9" t="n">
        <v>635</v>
      </c>
      <c r="F6" s="11" t="n">
        <v>2066</v>
      </c>
      <c r="G6" s="48" t="n">
        <v>0.0048699338108125</v>
      </c>
      <c r="H6" s="48" t="n">
        <v>0.0057331179160728</v>
      </c>
      <c r="I6" s="9" t="n">
        <v>58</v>
      </c>
      <c r="J6" s="11" t="n">
        <v>2067</v>
      </c>
      <c r="K6" s="48" t="n">
        <v>0.0035409843135337</v>
      </c>
      <c r="L6" s="48" t="n">
        <v>0.0041482485342256</v>
      </c>
      <c r="M6" s="9" t="n">
        <v>60</v>
      </c>
      <c r="N6" s="48" t="n">
        <v>0.0035472883385136</v>
      </c>
    </row>
    <row r="7" customFormat="false" ht="15" hidden="false" customHeight="false" outlineLevel="0" collapsed="false">
      <c r="A7" s="14" t="s">
        <v>864</v>
      </c>
      <c r="B7" s="17" t="n">
        <v>16531</v>
      </c>
      <c r="C7" s="49" t="n">
        <v>0.0010571259317477</v>
      </c>
      <c r="D7" s="49" t="n">
        <v>0.0012653444738597</v>
      </c>
      <c r="E7" s="15" t="n">
        <v>592</v>
      </c>
      <c r="F7" s="17" t="n">
        <v>2066</v>
      </c>
      <c r="G7" s="49" t="n">
        <v>0.0040537554517631</v>
      </c>
      <c r="H7" s="49" t="n">
        <v>0.0046854215917521</v>
      </c>
      <c r="I7" s="15" t="n">
        <v>73</v>
      </c>
      <c r="J7" s="17" t="n">
        <v>2067</v>
      </c>
      <c r="K7" s="49" t="n">
        <v>0.0060385543115968</v>
      </c>
      <c r="L7" s="49" t="n">
        <v>0.0072850426383913</v>
      </c>
      <c r="M7" s="15" t="n">
        <v>88</v>
      </c>
      <c r="N7" s="49" t="n">
        <v>0.0044119362346677</v>
      </c>
    </row>
    <row r="8" customFormat="false" ht="15" hidden="false" customHeight="false" outlineLevel="0" collapsed="false">
      <c r="A8" s="8" t="s">
        <v>865</v>
      </c>
      <c r="B8" s="11" t="n">
        <v>16533</v>
      </c>
      <c r="C8" s="48" t="n">
        <v>1.65316003587205E-005</v>
      </c>
      <c r="D8" s="48" t="n">
        <v>1.9289471015146E-005</v>
      </c>
      <c r="E8" s="9" t="n">
        <v>602</v>
      </c>
      <c r="F8" s="11" t="n">
        <v>2047</v>
      </c>
      <c r="G8" s="48" t="n">
        <v>0.0005501462344164</v>
      </c>
      <c r="H8" s="48" t="n">
        <v>0.0006734759472663</v>
      </c>
      <c r="I8" s="9" t="n">
        <v>75</v>
      </c>
      <c r="J8" s="11" t="n">
        <v>2084</v>
      </c>
      <c r="K8" s="48" t="n">
        <v>0.000449230727667</v>
      </c>
      <c r="L8" s="48" t="n">
        <v>0.0005519923266952</v>
      </c>
      <c r="M8" s="9" t="n">
        <v>76</v>
      </c>
      <c r="N8" s="48" t="n">
        <v>0.0004149192483255</v>
      </c>
    </row>
    <row r="10" customFormat="false" ht="15" hidden="false" customHeight="false" outlineLevel="0" collapsed="false">
      <c r="A10" s="43" t="s">
        <v>866</v>
      </c>
    </row>
    <row r="11" customFormat="false" ht="15" hidden="false" customHeight="false" outlineLevel="0" collapsed="false">
      <c r="A11" s="6" t="s">
        <v>134</v>
      </c>
      <c r="B11" s="6" t="s">
        <v>209</v>
      </c>
      <c r="C11" s="6" t="s">
        <v>701</v>
      </c>
      <c r="D11" s="6" t="s">
        <v>702</v>
      </c>
      <c r="E11" s="6" t="s">
        <v>703</v>
      </c>
      <c r="F11" s="6" t="s">
        <v>704</v>
      </c>
      <c r="G11" s="6" t="s">
        <v>705</v>
      </c>
    </row>
    <row r="12" customFormat="false" ht="15" hidden="false" customHeight="false" outlineLevel="0" collapsed="false">
      <c r="A12" s="8" t="s">
        <v>139</v>
      </c>
      <c r="B12" s="11" t="n">
        <v>2868</v>
      </c>
      <c r="C12" s="46" t="n">
        <v>0.1735</v>
      </c>
      <c r="D12" s="11" t="n">
        <v>327</v>
      </c>
      <c r="E12" s="46" t="n">
        <v>0.1583</v>
      </c>
      <c r="F12" s="11" t="n">
        <v>374</v>
      </c>
      <c r="G12" s="46" t="n">
        <v>0.1809</v>
      </c>
    </row>
    <row r="13" customFormat="false" ht="15" hidden="false" customHeight="false" outlineLevel="0" collapsed="false">
      <c r="A13" s="14" t="s">
        <v>141</v>
      </c>
      <c r="B13" s="17" t="n">
        <v>824</v>
      </c>
      <c r="C13" s="47" t="n">
        <v>0.0498</v>
      </c>
      <c r="D13" s="17" t="n">
        <v>91</v>
      </c>
      <c r="E13" s="47" t="n">
        <v>0.044</v>
      </c>
      <c r="F13" s="17" t="n">
        <v>98</v>
      </c>
      <c r="G13" s="47" t="n">
        <v>0.0474</v>
      </c>
    </row>
    <row r="14" customFormat="false" ht="15" hidden="false" customHeight="false" outlineLevel="0" collapsed="false">
      <c r="A14" s="8" t="s">
        <v>143</v>
      </c>
      <c r="B14" s="11" t="n">
        <v>1614</v>
      </c>
      <c r="C14" s="46" t="n">
        <v>0.0976</v>
      </c>
      <c r="D14" s="11" t="n">
        <v>168</v>
      </c>
      <c r="E14" s="46" t="n">
        <v>0.0813</v>
      </c>
      <c r="F14" s="11" t="n">
        <v>204</v>
      </c>
      <c r="G14" s="46" t="n">
        <v>0.0987</v>
      </c>
    </row>
    <row r="15" customFormat="false" ht="15" hidden="false" customHeight="false" outlineLevel="0" collapsed="false">
      <c r="A15" s="14" t="s">
        <v>144</v>
      </c>
      <c r="B15" s="17" t="n">
        <v>1175</v>
      </c>
      <c r="C15" s="47" t="n">
        <v>0.0711</v>
      </c>
      <c r="D15" s="17" t="n">
        <v>148</v>
      </c>
      <c r="E15" s="47" t="n">
        <v>0.0716</v>
      </c>
      <c r="F15" s="17" t="n">
        <v>143</v>
      </c>
      <c r="G15" s="47" t="n">
        <v>0.0692</v>
      </c>
    </row>
    <row r="16" customFormat="false" ht="15" hidden="false" customHeight="false" outlineLevel="0" collapsed="false">
      <c r="A16" s="8" t="s">
        <v>145</v>
      </c>
      <c r="B16" s="11" t="n">
        <v>762</v>
      </c>
      <c r="C16" s="46" t="n">
        <v>0.0461</v>
      </c>
      <c r="D16" s="11" t="n">
        <v>102</v>
      </c>
      <c r="E16" s="46" t="n">
        <v>0.0494</v>
      </c>
      <c r="F16" s="11" t="n">
        <v>80</v>
      </c>
      <c r="G16" s="46" t="n">
        <v>0.0387</v>
      </c>
    </row>
    <row r="17" customFormat="false" ht="15" hidden="false" customHeight="false" outlineLevel="0" collapsed="false">
      <c r="A17" s="14" t="s">
        <v>147</v>
      </c>
      <c r="B17" s="17" t="n">
        <v>1046</v>
      </c>
      <c r="C17" s="47" t="n">
        <v>0.0633</v>
      </c>
      <c r="D17" s="17" t="n">
        <v>122</v>
      </c>
      <c r="E17" s="47" t="n">
        <v>0.0591</v>
      </c>
      <c r="F17" s="17" t="n">
        <v>142</v>
      </c>
      <c r="G17" s="47" t="n">
        <v>0.0687</v>
      </c>
    </row>
    <row r="18" customFormat="false" ht="15" hidden="false" customHeight="false" outlineLevel="0" collapsed="false">
      <c r="A18" s="8" t="s">
        <v>148</v>
      </c>
      <c r="B18" s="11" t="n">
        <v>1062</v>
      </c>
      <c r="C18" s="46" t="n">
        <v>0.0642</v>
      </c>
      <c r="D18" s="11" t="n">
        <v>131</v>
      </c>
      <c r="E18" s="46" t="n">
        <v>0.0634</v>
      </c>
      <c r="F18" s="11" t="n">
        <v>150</v>
      </c>
      <c r="G18" s="46" t="n">
        <v>0.0726</v>
      </c>
    </row>
    <row r="19" customFormat="false" ht="15" hidden="false" customHeight="false" outlineLevel="0" collapsed="false">
      <c r="A19" s="14" t="s">
        <v>149</v>
      </c>
      <c r="B19" s="17" t="n">
        <v>774</v>
      </c>
      <c r="C19" s="47" t="n">
        <v>0.0468</v>
      </c>
      <c r="D19" s="17" t="n">
        <v>87</v>
      </c>
      <c r="E19" s="47" t="n">
        <v>0.0421</v>
      </c>
      <c r="F19" s="17" t="n">
        <v>86</v>
      </c>
      <c r="G19" s="47" t="n">
        <v>0.0416</v>
      </c>
    </row>
    <row r="20" customFormat="false" ht="15" hidden="false" customHeight="false" outlineLevel="0" collapsed="false">
      <c r="A20" s="8" t="s">
        <v>150</v>
      </c>
      <c r="B20" s="11" t="n">
        <v>883</v>
      </c>
      <c r="C20" s="46" t="n">
        <v>0.0534</v>
      </c>
      <c r="D20" s="11" t="n">
        <v>107</v>
      </c>
      <c r="E20" s="46" t="n">
        <v>0.0518</v>
      </c>
      <c r="F20" s="11" t="n">
        <v>101</v>
      </c>
      <c r="G20" s="46" t="n">
        <v>0.0489</v>
      </c>
    </row>
    <row r="21" customFormat="false" ht="15" hidden="false" customHeight="false" outlineLevel="0" collapsed="false">
      <c r="A21" s="14" t="s">
        <v>151</v>
      </c>
      <c r="B21" s="17" t="n">
        <v>765</v>
      </c>
      <c r="C21" s="47" t="n">
        <v>0.0463</v>
      </c>
      <c r="D21" s="17" t="n">
        <v>96</v>
      </c>
      <c r="E21" s="47" t="n">
        <v>0.0465</v>
      </c>
      <c r="F21" s="17" t="n">
        <v>108</v>
      </c>
      <c r="G21" s="47" t="n">
        <v>0.0522</v>
      </c>
    </row>
    <row r="22" customFormat="false" ht="15" hidden="false" customHeight="false" outlineLevel="0" collapsed="false">
      <c r="A22" s="8" t="s">
        <v>152</v>
      </c>
      <c r="B22" s="11" t="n">
        <v>635</v>
      </c>
      <c r="C22" s="46" t="n">
        <v>0.0384</v>
      </c>
      <c r="D22" s="11" t="n">
        <v>58</v>
      </c>
      <c r="E22" s="46" t="n">
        <v>0.0281</v>
      </c>
      <c r="F22" s="11" t="n">
        <v>60</v>
      </c>
      <c r="G22" s="46" t="n">
        <v>0.029</v>
      </c>
    </row>
    <row r="23" customFormat="false" ht="15" hidden="false" customHeight="false" outlineLevel="0" collapsed="false">
      <c r="A23" s="14" t="s">
        <v>153</v>
      </c>
      <c r="B23" s="17" t="n">
        <v>917</v>
      </c>
      <c r="C23" s="47" t="n">
        <v>0.0555</v>
      </c>
      <c r="D23" s="17" t="n">
        <v>119</v>
      </c>
      <c r="E23" s="47" t="n">
        <v>0.0576</v>
      </c>
      <c r="F23" s="17" t="n">
        <v>115</v>
      </c>
      <c r="G23" s="47" t="n">
        <v>0.0556</v>
      </c>
    </row>
    <row r="24" customFormat="false" ht="15" hidden="false" customHeight="false" outlineLevel="0" collapsed="false">
      <c r="A24" s="8" t="s">
        <v>154</v>
      </c>
      <c r="B24" s="11" t="n">
        <v>687</v>
      </c>
      <c r="C24" s="46" t="n">
        <v>0.0416</v>
      </c>
      <c r="D24" s="11" t="n">
        <v>96</v>
      </c>
      <c r="E24" s="46" t="n">
        <v>0.0465</v>
      </c>
      <c r="F24" s="11" t="n">
        <v>95</v>
      </c>
      <c r="G24" s="46" t="n">
        <v>0.046</v>
      </c>
    </row>
    <row r="25" customFormat="false" ht="15" hidden="false" customHeight="false" outlineLevel="0" collapsed="false">
      <c r="A25" s="14" t="s">
        <v>155</v>
      </c>
      <c r="B25" s="17" t="n">
        <v>651</v>
      </c>
      <c r="C25" s="47" t="n">
        <v>0.0394</v>
      </c>
      <c r="D25" s="17" t="n">
        <v>87</v>
      </c>
      <c r="E25" s="47" t="n">
        <v>0.0421</v>
      </c>
      <c r="F25" s="17" t="n">
        <v>85</v>
      </c>
      <c r="G25" s="47" t="n">
        <v>0.0411</v>
      </c>
    </row>
    <row r="26" customFormat="false" ht="15" hidden="false" customHeight="false" outlineLevel="0" collapsed="false">
      <c r="A26" s="8" t="s">
        <v>156</v>
      </c>
      <c r="B26" s="11" t="n">
        <v>840</v>
      </c>
      <c r="C26" s="46" t="n">
        <v>0.0508</v>
      </c>
      <c r="D26" s="11" t="n">
        <v>112</v>
      </c>
      <c r="E26" s="46" t="n">
        <v>0.0542</v>
      </c>
      <c r="F26" s="11" t="n">
        <v>100</v>
      </c>
      <c r="G26" s="46" t="n">
        <v>0.0484</v>
      </c>
    </row>
    <row r="27" customFormat="false" ht="15" hidden="false" customHeight="false" outlineLevel="0" collapsed="false">
      <c r="A27" s="14" t="s">
        <v>157</v>
      </c>
      <c r="B27" s="17" t="n">
        <v>676</v>
      </c>
      <c r="C27" s="47" t="n">
        <v>0.0409</v>
      </c>
      <c r="D27" s="17" t="n">
        <v>89</v>
      </c>
      <c r="E27" s="47" t="n">
        <v>0.0431</v>
      </c>
      <c r="F27" s="17" t="n">
        <v>84</v>
      </c>
      <c r="G27" s="47" t="n">
        <v>0.0406</v>
      </c>
    </row>
    <row r="28" customFormat="false" ht="15" hidden="false" customHeight="false" outlineLevel="0" collapsed="false">
      <c r="A28" s="8" t="s">
        <v>158</v>
      </c>
      <c r="B28" s="11" t="n">
        <v>745</v>
      </c>
      <c r="C28" s="46" t="n">
        <v>0.0451</v>
      </c>
      <c r="D28" s="11" t="n">
        <v>117</v>
      </c>
      <c r="E28" s="46" t="n">
        <v>0.0566</v>
      </c>
      <c r="F28" s="11" t="n">
        <v>98</v>
      </c>
      <c r="G28" s="46" t="n">
        <v>0.0474</v>
      </c>
    </row>
    <row r="29" customFormat="false" ht="15" hidden="false" customHeight="false" outlineLevel="0" collapsed="false">
      <c r="A29" s="14" t="s">
        <v>159</v>
      </c>
      <c r="B29" s="17" t="n">
        <v>728</v>
      </c>
      <c r="C29" s="47" t="n">
        <v>0.044</v>
      </c>
      <c r="D29" s="17" t="n">
        <v>109</v>
      </c>
      <c r="E29" s="47" t="n">
        <v>0.0528</v>
      </c>
      <c r="F29" s="17" t="n">
        <v>96</v>
      </c>
      <c r="G29" s="47" t="n">
        <v>0.0464</v>
      </c>
    </row>
    <row r="30" customFormat="false" ht="15" hidden="false" customHeight="false" outlineLevel="0" collapsed="false">
      <c r="A30" s="8" t="s">
        <v>160</v>
      </c>
      <c r="B30" s="11" t="n">
        <v>707</v>
      </c>
      <c r="C30" s="46" t="n">
        <v>0.0428</v>
      </c>
      <c r="D30" s="11" t="n">
        <v>96</v>
      </c>
      <c r="E30" s="46" t="n">
        <v>0.0465</v>
      </c>
      <c r="F30" s="11" t="n">
        <v>87</v>
      </c>
      <c r="G30" s="46" t="n">
        <v>0.0421</v>
      </c>
    </row>
    <row r="31" customFormat="false" ht="15" hidden="false" customHeight="false" outlineLevel="0" collapsed="false">
      <c r="A31" s="14" t="s">
        <v>161</v>
      </c>
      <c r="B31" s="17" t="n">
        <v>885</v>
      </c>
      <c r="C31" s="47" t="n">
        <v>0.0535</v>
      </c>
      <c r="D31" s="17" t="n">
        <v>137</v>
      </c>
      <c r="E31" s="47" t="n">
        <v>0.0663</v>
      </c>
      <c r="F31" s="17" t="n">
        <v>107</v>
      </c>
      <c r="G31" s="47" t="n">
        <v>0.0518</v>
      </c>
    </row>
    <row r="32" customFormat="false" ht="15" hidden="false" customHeight="false" outlineLevel="0" collapsed="false">
      <c r="A32" s="8" t="s">
        <v>162</v>
      </c>
      <c r="B32" s="11" t="n">
        <v>1522</v>
      </c>
      <c r="C32" s="46" t="n">
        <v>0.0921</v>
      </c>
      <c r="D32" s="11" t="n">
        <v>211</v>
      </c>
      <c r="E32" s="46" t="n">
        <v>0.1021</v>
      </c>
      <c r="F32" s="11" t="n">
        <v>197</v>
      </c>
      <c r="G32" s="46" t="n">
        <v>0.0953</v>
      </c>
    </row>
    <row r="33" customFormat="false" ht="15" hidden="false" customHeight="false" outlineLevel="0" collapsed="false">
      <c r="A33" s="14" t="s">
        <v>163</v>
      </c>
      <c r="B33" s="17" t="n">
        <v>2785</v>
      </c>
      <c r="C33" s="47" t="n">
        <v>0.1685</v>
      </c>
      <c r="D33" s="17" t="n">
        <v>354</v>
      </c>
      <c r="E33" s="47" t="n">
        <v>0.1713</v>
      </c>
      <c r="F33" s="17" t="n">
        <v>345</v>
      </c>
      <c r="G33" s="47" t="n">
        <v>0.1669</v>
      </c>
    </row>
    <row r="34" customFormat="false" ht="15" hidden="false" customHeight="false" outlineLevel="0" collapsed="false">
      <c r="A34" s="8" t="s">
        <v>164</v>
      </c>
      <c r="B34" s="11" t="n">
        <v>747</v>
      </c>
      <c r="C34" s="46" t="n">
        <v>0.0452</v>
      </c>
      <c r="D34" s="11" t="n">
        <v>97</v>
      </c>
      <c r="E34" s="46" t="n">
        <v>0.047</v>
      </c>
      <c r="F34" s="11" t="n">
        <v>86</v>
      </c>
      <c r="G34" s="46" t="n">
        <v>0.0416</v>
      </c>
    </row>
    <row r="35" customFormat="false" ht="15" hidden="false" customHeight="false" outlineLevel="0" collapsed="false">
      <c r="A35" s="14" t="s">
        <v>165</v>
      </c>
      <c r="B35" s="17" t="n">
        <v>1206</v>
      </c>
      <c r="C35" s="47" t="n">
        <v>0.073</v>
      </c>
      <c r="D35" s="17" t="n">
        <v>164</v>
      </c>
      <c r="E35" s="47" t="n">
        <v>0.0794</v>
      </c>
      <c r="F35" s="17" t="n">
        <v>141</v>
      </c>
      <c r="G35" s="47" t="n">
        <v>0.0682</v>
      </c>
    </row>
    <row r="36" customFormat="false" ht="15" hidden="false" customHeight="false" outlineLevel="0" collapsed="false">
      <c r="A36" s="8" t="s">
        <v>166</v>
      </c>
      <c r="B36" s="11" t="n">
        <v>1589</v>
      </c>
      <c r="C36" s="46" t="n">
        <v>0.0961</v>
      </c>
      <c r="D36" s="11" t="n">
        <v>185</v>
      </c>
      <c r="E36" s="46" t="n">
        <v>0.0895</v>
      </c>
      <c r="F36" s="11" t="n">
        <v>189</v>
      </c>
      <c r="G36" s="46" t="n">
        <v>0.0914</v>
      </c>
    </row>
    <row r="37" customFormat="false" ht="15" hidden="false" customHeight="false" outlineLevel="0" collapsed="false">
      <c r="A37" s="14" t="s">
        <v>167</v>
      </c>
      <c r="B37" s="17" t="n">
        <v>2662</v>
      </c>
      <c r="C37" s="47" t="n">
        <v>0.161</v>
      </c>
      <c r="D37" s="17" t="n">
        <v>331</v>
      </c>
      <c r="E37" s="47" t="n">
        <v>0.1602</v>
      </c>
      <c r="F37" s="17" t="n">
        <v>343</v>
      </c>
      <c r="G37" s="47" t="n">
        <v>0.1659</v>
      </c>
    </row>
    <row r="38" customFormat="false" ht="15" hidden="false" customHeight="false" outlineLevel="0" collapsed="false">
      <c r="A38" s="8" t="s">
        <v>168</v>
      </c>
      <c r="B38" s="11" t="n">
        <v>969</v>
      </c>
      <c r="C38" s="46" t="n">
        <v>0.0586</v>
      </c>
      <c r="D38" s="11" t="n">
        <v>123</v>
      </c>
      <c r="E38" s="46" t="n">
        <v>0.0595</v>
      </c>
      <c r="F38" s="11" t="n">
        <v>112</v>
      </c>
      <c r="G38" s="46" t="n">
        <v>0.0542</v>
      </c>
    </row>
    <row r="39" customFormat="false" ht="15" hidden="false" customHeight="false" outlineLevel="0" collapsed="false">
      <c r="A39" s="14" t="s">
        <v>169</v>
      </c>
      <c r="B39" s="17" t="n">
        <v>821</v>
      </c>
      <c r="C39" s="47" t="n">
        <v>0.0497</v>
      </c>
      <c r="D39" s="17" t="n">
        <v>94</v>
      </c>
      <c r="E39" s="47" t="n">
        <v>0.0455</v>
      </c>
      <c r="F39" s="17" t="n">
        <v>116</v>
      </c>
      <c r="G39" s="47" t="n">
        <v>0.0561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867</v>
      </c>
    </row>
    <row r="2" customFormat="false" ht="15" hidden="false" customHeight="false" outlineLevel="0" collapsed="false">
      <c r="A2" s="2" t="s">
        <v>868</v>
      </c>
    </row>
    <row r="4" customFormat="false" ht="15" hidden="false" customHeight="false" outlineLevel="0" collapsed="false">
      <c r="A4" s="6" t="s">
        <v>869</v>
      </c>
      <c r="B4" s="6" t="s">
        <v>304</v>
      </c>
      <c r="C4" s="6" t="s">
        <v>270</v>
      </c>
      <c r="D4" s="6" t="s">
        <v>870</v>
      </c>
      <c r="E4" s="6" t="s">
        <v>871</v>
      </c>
    </row>
    <row r="5" customFormat="false" ht="15" hidden="false" customHeight="false" outlineLevel="0" collapsed="false">
      <c r="A5" s="8" t="s">
        <v>872</v>
      </c>
      <c r="B5" s="50" t="n">
        <v>4</v>
      </c>
      <c r="C5" s="9" t="n">
        <v>0.643994088145991</v>
      </c>
      <c r="D5" s="44" t="n">
        <v>0.39</v>
      </c>
      <c r="E5" s="9" t="n">
        <v>0.656954540741195</v>
      </c>
    </row>
    <row r="6" customFormat="false" ht="15" hidden="false" customHeight="false" outlineLevel="0" collapsed="false">
      <c r="A6" s="24" t="s">
        <v>873</v>
      </c>
      <c r="B6" s="51" t="n">
        <v>3</v>
      </c>
      <c r="C6" s="25" t="n">
        <v>0.640889456320737</v>
      </c>
      <c r="D6" s="52" t="n">
        <v>0.32</v>
      </c>
      <c r="E6" s="25" t="n">
        <v>0.65477037196305</v>
      </c>
    </row>
    <row r="7" customFormat="false" ht="15" hidden="false" customHeight="false" outlineLevel="0" collapsed="false">
      <c r="A7" s="8" t="s">
        <v>874</v>
      </c>
      <c r="B7" s="50" t="n">
        <v>3</v>
      </c>
      <c r="C7" s="9" t="n">
        <v>0.646356707790267</v>
      </c>
      <c r="D7" s="44" t="n">
        <v>0.43</v>
      </c>
      <c r="E7" s="9" t="n">
        <v>0.654319681134326</v>
      </c>
    </row>
    <row r="8" customFormat="false" ht="15" hidden="false" customHeight="false" outlineLevel="0" collapsed="false">
      <c r="A8" s="14" t="s">
        <v>875</v>
      </c>
      <c r="B8" s="53" t="n">
        <v>3</v>
      </c>
      <c r="C8" s="15" t="n">
        <v>0.643305034086029</v>
      </c>
      <c r="D8" s="45" t="n">
        <v>0.41</v>
      </c>
      <c r="E8" s="15" t="n">
        <v>0.651980505050365</v>
      </c>
    </row>
    <row r="9" customFormat="false" ht="15" hidden="false" customHeight="false" outlineLevel="0" collapsed="false">
      <c r="A9" s="8" t="s">
        <v>876</v>
      </c>
      <c r="B9" s="50" t="n">
        <v>2</v>
      </c>
      <c r="C9" s="9" t="n">
        <v>0.64688853134227</v>
      </c>
      <c r="D9" s="44" t="n">
        <v>0.47</v>
      </c>
      <c r="E9" s="9" t="n">
        <v>0.651474950062075</v>
      </c>
    </row>
    <row r="10" customFormat="false" ht="15" hidden="false" customHeight="false" outlineLevel="0" collapsed="false">
      <c r="A10" s="14" t="s">
        <v>877</v>
      </c>
      <c r="B10" s="53" t="n">
        <v>2</v>
      </c>
      <c r="C10" s="15" t="n">
        <v>0.640144564661523</v>
      </c>
      <c r="D10" s="45" t="n">
        <v>0.41</v>
      </c>
      <c r="E10" s="15" t="n">
        <v>0.651079796378706</v>
      </c>
    </row>
    <row r="11" customFormat="false" ht="15" hidden="false" customHeight="false" outlineLevel="0" collapsed="false">
      <c r="A11" s="8" t="s">
        <v>878</v>
      </c>
      <c r="B11" s="50" t="n">
        <v>2</v>
      </c>
      <c r="C11" s="9" t="n">
        <v>0.63812577689648</v>
      </c>
      <c r="D11" s="44" t="n">
        <v>0.49</v>
      </c>
      <c r="E11" s="9" t="n">
        <v>0.639883135371089</v>
      </c>
    </row>
    <row r="12" customFormat="false" ht="15" hidden="false" customHeight="false" outlineLevel="0" collapsed="false">
      <c r="A12" s="14" t="s">
        <v>879</v>
      </c>
      <c r="B12" s="53" t="n">
        <v>1</v>
      </c>
      <c r="C12" s="15" t="n">
        <v>0.631987229486153</v>
      </c>
      <c r="D12" s="45" t="n">
        <v>0.29</v>
      </c>
      <c r="E12" s="15" t="n">
        <v>0.638798043712129</v>
      </c>
    </row>
    <row r="13" customFormat="false" ht="15" hidden="false" customHeight="false" outlineLevel="0" collapsed="false">
      <c r="A13" s="8" t="s">
        <v>880</v>
      </c>
      <c r="B13" s="50" t="n">
        <v>3</v>
      </c>
      <c r="C13" s="9" t="n">
        <v>0.626441462099638</v>
      </c>
      <c r="D13" s="44" t="n">
        <v>0.36</v>
      </c>
      <c r="E13" s="9" t="n">
        <v>0.63761892207107</v>
      </c>
    </row>
    <row r="14" customFormat="false" ht="15" hidden="false" customHeight="false" outlineLevel="0" collapsed="false">
      <c r="A14" s="14" t="s">
        <v>881</v>
      </c>
      <c r="B14" s="53" t="n">
        <v>2</v>
      </c>
      <c r="C14" s="15" t="n">
        <v>0.624993050277506</v>
      </c>
      <c r="D14" s="45" t="n">
        <v>0.29</v>
      </c>
      <c r="E14" s="15" t="n">
        <v>0.635831666337496</v>
      </c>
    </row>
    <row r="15" customFormat="false" ht="15" hidden="false" customHeight="false" outlineLevel="0" collapsed="false">
      <c r="A15" s="8" t="s">
        <v>882</v>
      </c>
      <c r="B15" s="50" t="n">
        <v>2</v>
      </c>
      <c r="C15" s="9" t="n">
        <v>0.621049156537825</v>
      </c>
      <c r="D15" s="44" t="n">
        <v>0.46</v>
      </c>
      <c r="E15" s="9" t="n">
        <v>0.623239222283022</v>
      </c>
    </row>
    <row r="16" customFormat="false" ht="15" hidden="false" customHeight="false" outlineLevel="0" collapsed="false">
      <c r="A16" s="14" t="s">
        <v>883</v>
      </c>
      <c r="B16" s="53" t="n">
        <v>1</v>
      </c>
      <c r="C16" s="15" t="n">
        <v>0.617105917837761</v>
      </c>
      <c r="D16" s="45" t="n">
        <v>0.38</v>
      </c>
      <c r="E16" s="15" t="n">
        <v>0.623212565012767</v>
      </c>
    </row>
    <row r="17" customFormat="false" ht="15" hidden="false" customHeight="false" outlineLevel="0" collapsed="false">
      <c r="A17" s="8" t="s">
        <v>884</v>
      </c>
      <c r="B17" s="50" t="n">
        <v>2</v>
      </c>
      <c r="C17" s="9" t="n">
        <v>0.61855781570788</v>
      </c>
      <c r="D17" s="44" t="n">
        <v>0.45</v>
      </c>
      <c r="E17" s="9" t="n">
        <v>0.620188595747606</v>
      </c>
    </row>
    <row r="18" customFormat="false" ht="15" hidden="false" customHeight="false" outlineLevel="0" collapsed="false">
      <c r="A18" s="14" t="s">
        <v>885</v>
      </c>
      <c r="B18" s="53" t="n">
        <v>1</v>
      </c>
      <c r="C18" s="15" t="n">
        <v>0.609458540503797</v>
      </c>
      <c r="D18" s="45" t="n">
        <v>0.27</v>
      </c>
      <c r="E18" s="15" t="n">
        <v>0.617053198700941</v>
      </c>
    </row>
    <row r="19" customFormat="false" ht="15" hidden="false" customHeight="false" outlineLevel="0" collapsed="false">
      <c r="A19" s="8" t="s">
        <v>886</v>
      </c>
      <c r="B19" s="50" t="n">
        <v>1</v>
      </c>
      <c r="C19" s="9" t="n">
        <v>0.531338478458325</v>
      </c>
      <c r="D19" s="44" t="n">
        <v>0.6</v>
      </c>
      <c r="E19" s="9" t="n">
        <v>0.539501978591862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8"/>
    <col collapsed="false" customWidth="true" hidden="false" outlineLevel="0" max="3" min="3" style="0" width="29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887</v>
      </c>
    </row>
    <row r="4" customFormat="false" ht="15" hidden="false" customHeight="false" outlineLevel="0" collapsed="false">
      <c r="A4" s="6" t="s">
        <v>888</v>
      </c>
      <c r="B4" s="6" t="s">
        <v>889</v>
      </c>
      <c r="C4" s="6" t="s">
        <v>676</v>
      </c>
    </row>
    <row r="5" customFormat="false" ht="15" hidden="false" customHeight="false" outlineLevel="0" collapsed="false">
      <c r="A5" s="8" t="s">
        <v>72</v>
      </c>
      <c r="B5" s="8" t="s">
        <v>890</v>
      </c>
      <c r="C5" s="8" t="s">
        <v>886</v>
      </c>
    </row>
    <row r="6" customFormat="false" ht="15" hidden="false" customHeight="false" outlineLevel="0" collapsed="false">
      <c r="A6" s="14" t="s">
        <v>72</v>
      </c>
      <c r="B6" s="14" t="s">
        <v>891</v>
      </c>
      <c r="C6" s="14" t="s">
        <v>892</v>
      </c>
    </row>
    <row r="7" customFormat="false" ht="15" hidden="false" customHeight="false" outlineLevel="0" collapsed="false">
      <c r="A7" s="8" t="s">
        <v>72</v>
      </c>
      <c r="B7" s="8" t="s">
        <v>709</v>
      </c>
      <c r="C7" s="8" t="s">
        <v>893</v>
      </c>
    </row>
    <row r="8" customFormat="false" ht="15" hidden="false" customHeight="false" outlineLevel="0" collapsed="false">
      <c r="A8" s="14" t="s">
        <v>72</v>
      </c>
      <c r="B8" s="14" t="s">
        <v>894</v>
      </c>
      <c r="C8" s="14" t="s">
        <v>895</v>
      </c>
    </row>
    <row r="9" customFormat="false" ht="15" hidden="false" customHeight="false" outlineLevel="0" collapsed="false">
      <c r="A9" s="8" t="s">
        <v>72</v>
      </c>
      <c r="B9" s="8" t="s">
        <v>896</v>
      </c>
      <c r="C9" s="8" t="s">
        <v>897</v>
      </c>
    </row>
    <row r="10" customFormat="false" ht="15" hidden="false" customHeight="false" outlineLevel="0" collapsed="false">
      <c r="A10" s="14" t="s">
        <v>72</v>
      </c>
      <c r="B10" s="14" t="s">
        <v>898</v>
      </c>
      <c r="C10" s="14" t="s">
        <v>899</v>
      </c>
    </row>
    <row r="11" customFormat="false" ht="15" hidden="false" customHeight="false" outlineLevel="0" collapsed="false">
      <c r="A11" s="8" t="s">
        <v>72</v>
      </c>
      <c r="B11" s="8" t="s">
        <v>900</v>
      </c>
      <c r="C11" s="8" t="s">
        <v>899</v>
      </c>
    </row>
    <row r="12" customFormat="false" ht="15" hidden="false" customHeight="false" outlineLevel="0" collapsed="false">
      <c r="A12" s="14" t="s">
        <v>72</v>
      </c>
      <c r="B12" s="14" t="s">
        <v>901</v>
      </c>
      <c r="C12" s="14" t="s">
        <v>899</v>
      </c>
    </row>
    <row r="13" customFormat="false" ht="15" hidden="false" customHeight="false" outlineLevel="0" collapsed="false">
      <c r="A13" s="8" t="s">
        <v>72</v>
      </c>
      <c r="B13" s="8" t="s">
        <v>902</v>
      </c>
      <c r="C13" s="8" t="s">
        <v>903</v>
      </c>
    </row>
    <row r="14" customFormat="false" ht="15" hidden="false" customHeight="false" outlineLevel="0" collapsed="false">
      <c r="A14" s="14" t="s">
        <v>72</v>
      </c>
      <c r="B14" s="14" t="s">
        <v>904</v>
      </c>
      <c r="C14" s="14" t="s">
        <v>905</v>
      </c>
    </row>
    <row r="15" customFormat="false" ht="15" hidden="false" customHeight="false" outlineLevel="0" collapsed="false">
      <c r="A15" s="8" t="s">
        <v>72</v>
      </c>
      <c r="B15" s="8" t="s">
        <v>906</v>
      </c>
      <c r="C15" s="8" t="s">
        <v>513</v>
      </c>
    </row>
    <row r="16" customFormat="false" ht="15" hidden="false" customHeight="false" outlineLevel="0" collapsed="false">
      <c r="A16" s="14" t="s">
        <v>72</v>
      </c>
      <c r="B16" s="14" t="s">
        <v>907</v>
      </c>
      <c r="C16" s="14" t="s">
        <v>908</v>
      </c>
    </row>
    <row r="17" customFormat="false" ht="15" hidden="false" customHeight="false" outlineLevel="0" collapsed="false">
      <c r="A17" s="8" t="s">
        <v>72</v>
      </c>
      <c r="B17" s="8" t="s">
        <v>909</v>
      </c>
      <c r="C17" s="8" t="s">
        <v>910</v>
      </c>
    </row>
    <row r="18" customFormat="false" ht="15" hidden="false" customHeight="false" outlineLevel="0" collapsed="false">
      <c r="A18" s="14" t="s">
        <v>72</v>
      </c>
      <c r="B18" s="14" t="s">
        <v>911</v>
      </c>
      <c r="C18" s="14" t="s">
        <v>912</v>
      </c>
    </row>
    <row r="19" customFormat="false" ht="15" hidden="false" customHeight="false" outlineLevel="0" collapsed="false">
      <c r="A19" s="8" t="s">
        <v>72</v>
      </c>
      <c r="B19" s="8" t="s">
        <v>913</v>
      </c>
      <c r="C19" s="8" t="s">
        <v>914</v>
      </c>
    </row>
    <row r="20" customFormat="false" ht="15" hidden="false" customHeight="false" outlineLevel="0" collapsed="false">
      <c r="A20" s="14" t="s">
        <v>72</v>
      </c>
      <c r="B20" s="14" t="s">
        <v>915</v>
      </c>
      <c r="C20" s="14" t="s">
        <v>916</v>
      </c>
    </row>
    <row r="21" customFormat="false" ht="15" hidden="false" customHeight="false" outlineLevel="0" collapsed="false">
      <c r="A21" s="8" t="s">
        <v>72</v>
      </c>
      <c r="B21" s="8" t="s">
        <v>917</v>
      </c>
      <c r="C21" s="8" t="s">
        <v>918</v>
      </c>
    </row>
    <row r="22" customFormat="false" ht="15" hidden="false" customHeight="false" outlineLevel="0" collapsed="false">
      <c r="A22" s="14" t="s">
        <v>72</v>
      </c>
      <c r="B22" s="14" t="s">
        <v>919</v>
      </c>
      <c r="C22" s="14" t="s">
        <v>920</v>
      </c>
    </row>
    <row r="23" customFormat="false" ht="15" hidden="false" customHeight="false" outlineLevel="0" collapsed="false">
      <c r="A23" s="8" t="s">
        <v>72</v>
      </c>
      <c r="B23" s="8" t="s">
        <v>921</v>
      </c>
      <c r="C23" s="8" t="s">
        <v>922</v>
      </c>
    </row>
    <row r="24" customFormat="false" ht="15" hidden="false" customHeight="false" outlineLevel="0" collapsed="false">
      <c r="A24" s="14" t="s">
        <v>72</v>
      </c>
      <c r="B24" s="14" t="s">
        <v>923</v>
      </c>
      <c r="C24" s="14" t="s">
        <v>924</v>
      </c>
    </row>
    <row r="25" customFormat="false" ht="15" hidden="false" customHeight="false" outlineLevel="0" collapsed="false">
      <c r="A25" s="8" t="s">
        <v>74</v>
      </c>
      <c r="B25" s="8" t="s">
        <v>890</v>
      </c>
      <c r="C25" s="8" t="s">
        <v>925</v>
      </c>
    </row>
    <row r="26" customFormat="false" ht="15" hidden="false" customHeight="false" outlineLevel="0" collapsed="false">
      <c r="A26" s="14" t="s">
        <v>74</v>
      </c>
      <c r="B26" s="14" t="s">
        <v>891</v>
      </c>
      <c r="C26" s="14" t="s">
        <v>892</v>
      </c>
    </row>
    <row r="27" customFormat="false" ht="15" hidden="false" customHeight="false" outlineLevel="0" collapsed="false">
      <c r="A27" s="8" t="s">
        <v>74</v>
      </c>
      <c r="B27" s="8" t="s">
        <v>709</v>
      </c>
      <c r="C27" s="8" t="s">
        <v>893</v>
      </c>
    </row>
    <row r="28" customFormat="false" ht="15" hidden="false" customHeight="false" outlineLevel="0" collapsed="false">
      <c r="A28" s="14" t="s">
        <v>74</v>
      </c>
      <c r="B28" s="14" t="s">
        <v>926</v>
      </c>
      <c r="C28" s="14" t="s">
        <v>927</v>
      </c>
    </row>
    <row r="29" customFormat="false" ht="15" hidden="false" customHeight="false" outlineLevel="0" collapsed="false">
      <c r="A29" s="8" t="s">
        <v>74</v>
      </c>
      <c r="B29" s="8" t="s">
        <v>896</v>
      </c>
      <c r="C29" s="8" t="s">
        <v>897</v>
      </c>
    </row>
    <row r="30" customFormat="false" ht="15" hidden="false" customHeight="false" outlineLevel="0" collapsed="false">
      <c r="A30" s="14" t="s">
        <v>74</v>
      </c>
      <c r="B30" s="14" t="s">
        <v>898</v>
      </c>
      <c r="C30" s="14" t="s">
        <v>899</v>
      </c>
    </row>
    <row r="31" customFormat="false" ht="15" hidden="false" customHeight="false" outlineLevel="0" collapsed="false">
      <c r="A31" s="8" t="s">
        <v>74</v>
      </c>
      <c r="B31" s="8" t="s">
        <v>900</v>
      </c>
      <c r="C31" s="8" t="s">
        <v>899</v>
      </c>
    </row>
    <row r="32" customFormat="false" ht="15" hidden="false" customHeight="false" outlineLevel="0" collapsed="false">
      <c r="A32" s="14" t="s">
        <v>74</v>
      </c>
      <c r="B32" s="14" t="s">
        <v>901</v>
      </c>
      <c r="C32" s="14" t="s">
        <v>899</v>
      </c>
    </row>
    <row r="33" customFormat="false" ht="15" hidden="false" customHeight="false" outlineLevel="0" collapsed="false">
      <c r="A33" s="8" t="s">
        <v>74</v>
      </c>
      <c r="B33" s="8" t="s">
        <v>928</v>
      </c>
      <c r="C33" s="8" t="s">
        <v>929</v>
      </c>
    </row>
    <row r="34" customFormat="false" ht="15" hidden="false" customHeight="false" outlineLevel="0" collapsed="false">
      <c r="A34" s="14" t="s">
        <v>74</v>
      </c>
      <c r="B34" s="14" t="s">
        <v>930</v>
      </c>
      <c r="C34" s="14" t="s">
        <v>931</v>
      </c>
    </row>
    <row r="35" customFormat="false" ht="15" hidden="false" customHeight="false" outlineLevel="0" collapsed="false">
      <c r="A35" s="8" t="s">
        <v>74</v>
      </c>
      <c r="B35" s="8" t="s">
        <v>932</v>
      </c>
      <c r="C35" s="8" t="s">
        <v>513</v>
      </c>
    </row>
    <row r="36" customFormat="false" ht="15" hidden="false" customHeight="false" outlineLevel="0" collapsed="false">
      <c r="A36" s="14" t="s">
        <v>74</v>
      </c>
      <c r="B36" s="14" t="s">
        <v>933</v>
      </c>
      <c r="C36" s="14" t="s">
        <v>934</v>
      </c>
    </row>
    <row r="37" customFormat="false" ht="15" hidden="false" customHeight="false" outlineLevel="0" collapsed="false">
      <c r="A37" s="8" t="s">
        <v>74</v>
      </c>
      <c r="B37" s="8" t="s">
        <v>935</v>
      </c>
      <c r="C37" s="8" t="s">
        <v>936</v>
      </c>
    </row>
    <row r="38" customFormat="false" ht="15" hidden="false" customHeight="false" outlineLevel="0" collapsed="false">
      <c r="A38" s="14" t="s">
        <v>74</v>
      </c>
      <c r="B38" s="14" t="s">
        <v>937</v>
      </c>
      <c r="C38" s="14" t="s">
        <v>938</v>
      </c>
    </row>
    <row r="39" customFormat="false" ht="15" hidden="false" customHeight="false" outlineLevel="0" collapsed="false">
      <c r="A39" s="8" t="s">
        <v>74</v>
      </c>
      <c r="B39" s="8" t="s">
        <v>939</v>
      </c>
      <c r="C39" s="8" t="s">
        <v>513</v>
      </c>
    </row>
    <row r="40" customFormat="false" ht="15" hidden="false" customHeight="false" outlineLevel="0" collapsed="false">
      <c r="A40" s="14" t="s">
        <v>74</v>
      </c>
      <c r="B40" s="14" t="s">
        <v>940</v>
      </c>
      <c r="C40" s="14" t="s">
        <v>941</v>
      </c>
    </row>
    <row r="41" customFormat="false" ht="15" hidden="false" customHeight="false" outlineLevel="0" collapsed="false">
      <c r="A41" s="8" t="s">
        <v>74</v>
      </c>
      <c r="B41" s="8" t="s">
        <v>942</v>
      </c>
      <c r="C41" s="8" t="s">
        <v>941</v>
      </c>
    </row>
    <row r="42" customFormat="false" ht="15" hidden="false" customHeight="false" outlineLevel="0" collapsed="false">
      <c r="A42" s="14" t="s">
        <v>74</v>
      </c>
      <c r="B42" s="14" t="s">
        <v>943</v>
      </c>
      <c r="C42" s="14" t="s">
        <v>944</v>
      </c>
    </row>
    <row r="43" customFormat="false" ht="15" hidden="false" customHeight="false" outlineLevel="0" collapsed="false">
      <c r="A43" s="8" t="s">
        <v>74</v>
      </c>
      <c r="B43" s="8" t="s">
        <v>945</v>
      </c>
      <c r="C43" s="33"/>
    </row>
    <row r="44" customFormat="false" ht="15" hidden="false" customHeight="false" outlineLevel="0" collapsed="false">
      <c r="A44" s="14" t="s">
        <v>74</v>
      </c>
      <c r="B44" s="14" t="s">
        <v>946</v>
      </c>
      <c r="C44" s="14" t="s">
        <v>947</v>
      </c>
    </row>
    <row r="45" customFormat="false" ht="15" hidden="false" customHeight="false" outlineLevel="0" collapsed="false">
      <c r="A45" s="8" t="s">
        <v>74</v>
      </c>
      <c r="B45" s="8" t="s">
        <v>948</v>
      </c>
      <c r="C45" s="8" t="s">
        <v>949</v>
      </c>
    </row>
    <row r="46" customFormat="false" ht="15" hidden="false" customHeight="false" outlineLevel="0" collapsed="false">
      <c r="A46" s="14" t="s">
        <v>74</v>
      </c>
      <c r="B46" s="14" t="s">
        <v>950</v>
      </c>
      <c r="C46" s="14" t="s">
        <v>951</v>
      </c>
    </row>
    <row r="47" customFormat="false" ht="15" hidden="false" customHeight="false" outlineLevel="0" collapsed="false">
      <c r="A47" s="8" t="s">
        <v>74</v>
      </c>
      <c r="B47" s="8" t="s">
        <v>952</v>
      </c>
      <c r="C47" s="8" t="s">
        <v>953</v>
      </c>
    </row>
    <row r="48" customFormat="false" ht="15" hidden="false" customHeight="false" outlineLevel="0" collapsed="false">
      <c r="A48" s="14" t="s">
        <v>74</v>
      </c>
      <c r="B48" s="14" t="s">
        <v>954</v>
      </c>
      <c r="C48" s="14" t="s">
        <v>955</v>
      </c>
    </row>
    <row r="49" customFormat="false" ht="15" hidden="false" customHeight="false" outlineLevel="0" collapsed="false">
      <c r="A49" s="8" t="s">
        <v>74</v>
      </c>
      <c r="B49" s="8" t="s">
        <v>956</v>
      </c>
      <c r="C49" s="8" t="s">
        <v>957</v>
      </c>
    </row>
    <row r="50" customFormat="false" ht="15" hidden="false" customHeight="false" outlineLevel="0" collapsed="false">
      <c r="A50" s="14" t="s">
        <v>74</v>
      </c>
      <c r="B50" s="14" t="s">
        <v>958</v>
      </c>
      <c r="C50" s="14" t="s">
        <v>959</v>
      </c>
    </row>
    <row r="51" customFormat="false" ht="15" hidden="false" customHeight="false" outlineLevel="0" collapsed="false">
      <c r="A51" s="8" t="s">
        <v>74</v>
      </c>
      <c r="B51" s="8" t="s">
        <v>960</v>
      </c>
      <c r="C51" s="8" t="s">
        <v>961</v>
      </c>
    </row>
    <row r="52" customFormat="false" ht="15" hidden="false" customHeight="false" outlineLevel="0" collapsed="false">
      <c r="A52" s="14" t="s">
        <v>74</v>
      </c>
      <c r="B52" s="14" t="s">
        <v>962</v>
      </c>
      <c r="C52" s="14" t="s">
        <v>95</v>
      </c>
    </row>
    <row r="53" customFormat="false" ht="15" hidden="false" customHeight="false" outlineLevel="0" collapsed="false">
      <c r="A53" s="8" t="s">
        <v>74</v>
      </c>
      <c r="B53" s="8" t="s">
        <v>963</v>
      </c>
      <c r="C53" s="8" t="s">
        <v>964</v>
      </c>
    </row>
    <row r="54" customFormat="false" ht="15" hidden="false" customHeight="false" outlineLevel="0" collapsed="false">
      <c r="A54" s="14" t="s">
        <v>74</v>
      </c>
      <c r="B54" s="14" t="s">
        <v>965</v>
      </c>
      <c r="C54" s="35"/>
    </row>
    <row r="55" customFormat="false" ht="15" hidden="false" customHeight="false" outlineLevel="0" collapsed="false">
      <c r="A55" s="8" t="s">
        <v>74</v>
      </c>
      <c r="B55" s="8" t="s">
        <v>966</v>
      </c>
      <c r="C55" s="8" t="s">
        <v>967</v>
      </c>
    </row>
    <row r="56" customFormat="false" ht="15" hidden="false" customHeight="false" outlineLevel="0" collapsed="false">
      <c r="A56" s="14" t="s">
        <v>74</v>
      </c>
      <c r="B56" s="14" t="s">
        <v>921</v>
      </c>
      <c r="C56" s="14" t="s">
        <v>968</v>
      </c>
    </row>
    <row r="57" customFormat="false" ht="15" hidden="false" customHeight="false" outlineLevel="0" collapsed="false">
      <c r="A57" s="8" t="s">
        <v>74</v>
      </c>
      <c r="B57" s="8" t="s">
        <v>923</v>
      </c>
      <c r="C57" s="8" t="s">
        <v>969</v>
      </c>
    </row>
    <row r="58" customFormat="false" ht="15" hidden="false" customHeight="false" outlineLevel="0" collapsed="false">
      <c r="A58" s="14" t="s">
        <v>74</v>
      </c>
      <c r="B58" s="14" t="s">
        <v>970</v>
      </c>
      <c r="C58" s="14" t="s">
        <v>73</v>
      </c>
    </row>
    <row r="59" customFormat="false" ht="15" hidden="false" customHeight="false" outlineLevel="0" collapsed="false">
      <c r="A59" s="8" t="s">
        <v>75</v>
      </c>
      <c r="B59" s="8" t="s">
        <v>890</v>
      </c>
      <c r="C59" s="8" t="s">
        <v>879</v>
      </c>
    </row>
    <row r="60" customFormat="false" ht="15" hidden="false" customHeight="false" outlineLevel="0" collapsed="false">
      <c r="A60" s="14" t="s">
        <v>75</v>
      </c>
      <c r="B60" s="14" t="s">
        <v>891</v>
      </c>
      <c r="C60" s="14" t="s">
        <v>892</v>
      </c>
    </row>
    <row r="61" customFormat="false" ht="15" hidden="false" customHeight="false" outlineLevel="0" collapsed="false">
      <c r="A61" s="8" t="s">
        <v>75</v>
      </c>
      <c r="B61" s="8" t="s">
        <v>709</v>
      </c>
      <c r="C61" s="8" t="s">
        <v>893</v>
      </c>
    </row>
    <row r="62" customFormat="false" ht="15" hidden="false" customHeight="false" outlineLevel="0" collapsed="false">
      <c r="A62" s="14" t="s">
        <v>75</v>
      </c>
      <c r="B62" s="14" t="s">
        <v>926</v>
      </c>
      <c r="C62" s="14" t="s">
        <v>927</v>
      </c>
    </row>
    <row r="63" customFormat="false" ht="15" hidden="false" customHeight="false" outlineLevel="0" collapsed="false">
      <c r="A63" s="8" t="s">
        <v>75</v>
      </c>
      <c r="B63" s="8" t="s">
        <v>971</v>
      </c>
      <c r="C63" s="8" t="s">
        <v>972</v>
      </c>
    </row>
    <row r="64" customFormat="false" ht="15" hidden="false" customHeight="false" outlineLevel="0" collapsed="false">
      <c r="A64" s="14" t="s">
        <v>75</v>
      </c>
      <c r="B64" s="14" t="s">
        <v>896</v>
      </c>
      <c r="C64" s="14" t="s">
        <v>973</v>
      </c>
    </row>
    <row r="65" customFormat="false" ht="15" hidden="false" customHeight="false" outlineLevel="0" collapsed="false">
      <c r="A65" s="8" t="s">
        <v>75</v>
      </c>
      <c r="B65" s="8" t="s">
        <v>898</v>
      </c>
      <c r="C65" s="8" t="s">
        <v>899</v>
      </c>
    </row>
    <row r="66" customFormat="false" ht="15" hidden="false" customHeight="false" outlineLevel="0" collapsed="false">
      <c r="A66" s="14" t="s">
        <v>75</v>
      </c>
      <c r="B66" s="14" t="s">
        <v>900</v>
      </c>
      <c r="C66" s="14" t="s">
        <v>899</v>
      </c>
    </row>
    <row r="67" customFormat="false" ht="15" hidden="false" customHeight="false" outlineLevel="0" collapsed="false">
      <c r="A67" s="8" t="s">
        <v>75</v>
      </c>
      <c r="B67" s="8" t="s">
        <v>901</v>
      </c>
      <c r="C67" s="8" t="s">
        <v>899</v>
      </c>
    </row>
    <row r="68" customFormat="false" ht="15" hidden="false" customHeight="false" outlineLevel="0" collapsed="false">
      <c r="A68" s="14" t="s">
        <v>75</v>
      </c>
      <c r="B68" s="14" t="s">
        <v>974</v>
      </c>
      <c r="C68" s="14" t="s">
        <v>975</v>
      </c>
    </row>
    <row r="69" customFormat="false" ht="15" hidden="false" customHeight="false" outlineLevel="0" collapsed="false">
      <c r="A69" s="8" t="s">
        <v>75</v>
      </c>
      <c r="B69" s="8" t="s">
        <v>930</v>
      </c>
      <c r="C69" s="8" t="s">
        <v>976</v>
      </c>
    </row>
    <row r="70" customFormat="false" ht="15" hidden="false" customHeight="false" outlineLevel="0" collapsed="false">
      <c r="A70" s="14" t="s">
        <v>75</v>
      </c>
      <c r="B70" s="14" t="s">
        <v>977</v>
      </c>
      <c r="C70" s="14" t="s">
        <v>978</v>
      </c>
    </row>
    <row r="71" customFormat="false" ht="15" hidden="false" customHeight="false" outlineLevel="0" collapsed="false">
      <c r="A71" s="8" t="s">
        <v>75</v>
      </c>
      <c r="B71" s="8" t="s">
        <v>943</v>
      </c>
      <c r="C71" s="8" t="s">
        <v>957</v>
      </c>
    </row>
    <row r="72" customFormat="false" ht="15" hidden="false" customHeight="false" outlineLevel="0" collapsed="false">
      <c r="A72" s="14" t="s">
        <v>75</v>
      </c>
      <c r="B72" s="14" t="s">
        <v>979</v>
      </c>
      <c r="C72" s="14" t="s">
        <v>980</v>
      </c>
    </row>
    <row r="73" customFormat="false" ht="15" hidden="false" customHeight="false" outlineLevel="0" collapsed="false">
      <c r="A73" s="8" t="s">
        <v>75</v>
      </c>
      <c r="B73" s="8" t="s">
        <v>981</v>
      </c>
      <c r="C73" s="8" t="s">
        <v>899</v>
      </c>
    </row>
    <row r="74" customFormat="false" ht="15" hidden="false" customHeight="false" outlineLevel="0" collapsed="false">
      <c r="A74" s="14" t="s">
        <v>75</v>
      </c>
      <c r="B74" s="14" t="s">
        <v>946</v>
      </c>
      <c r="C74" s="14" t="s">
        <v>947</v>
      </c>
    </row>
    <row r="75" customFormat="false" ht="15" hidden="false" customHeight="false" outlineLevel="0" collapsed="false">
      <c r="A75" s="8" t="s">
        <v>75</v>
      </c>
      <c r="B75" s="8" t="s">
        <v>948</v>
      </c>
      <c r="C75" s="8" t="s">
        <v>982</v>
      </c>
    </row>
    <row r="76" customFormat="false" ht="15" hidden="false" customHeight="false" outlineLevel="0" collapsed="false">
      <c r="A76" s="14" t="s">
        <v>75</v>
      </c>
      <c r="B76" s="14" t="s">
        <v>983</v>
      </c>
      <c r="C76" s="14" t="s">
        <v>984</v>
      </c>
    </row>
    <row r="77" customFormat="false" ht="15" hidden="false" customHeight="false" outlineLevel="0" collapsed="false">
      <c r="A77" s="8" t="s">
        <v>75</v>
      </c>
      <c r="B77" s="8" t="s">
        <v>950</v>
      </c>
      <c r="C77" s="8" t="s">
        <v>985</v>
      </c>
    </row>
    <row r="78" customFormat="false" ht="15" hidden="false" customHeight="false" outlineLevel="0" collapsed="false">
      <c r="A78" s="14" t="s">
        <v>75</v>
      </c>
      <c r="B78" s="14" t="s">
        <v>986</v>
      </c>
      <c r="C78" s="14" t="s">
        <v>987</v>
      </c>
    </row>
    <row r="79" customFormat="false" ht="15" hidden="false" customHeight="false" outlineLevel="0" collapsed="false">
      <c r="A79" s="8" t="s">
        <v>75</v>
      </c>
      <c r="B79" s="8" t="s">
        <v>988</v>
      </c>
      <c r="C79" s="8" t="s">
        <v>908</v>
      </c>
    </row>
    <row r="80" customFormat="false" ht="15" hidden="false" customHeight="false" outlineLevel="0" collapsed="false">
      <c r="A80" s="14" t="s">
        <v>75</v>
      </c>
      <c r="B80" s="14" t="s">
        <v>952</v>
      </c>
      <c r="C80" s="14" t="s">
        <v>989</v>
      </c>
    </row>
    <row r="81" customFormat="false" ht="15" hidden="false" customHeight="false" outlineLevel="0" collapsed="false">
      <c r="A81" s="8" t="s">
        <v>75</v>
      </c>
      <c r="B81" s="8" t="s">
        <v>954</v>
      </c>
      <c r="C81" s="8" t="s">
        <v>990</v>
      </c>
    </row>
    <row r="82" customFormat="false" ht="15" hidden="false" customHeight="false" outlineLevel="0" collapsed="false">
      <c r="A82" s="14" t="s">
        <v>75</v>
      </c>
      <c r="B82" s="14" t="s">
        <v>956</v>
      </c>
      <c r="C82" s="14" t="s">
        <v>957</v>
      </c>
    </row>
    <row r="83" customFormat="false" ht="15" hidden="false" customHeight="false" outlineLevel="0" collapsed="false">
      <c r="A83" s="8" t="s">
        <v>75</v>
      </c>
      <c r="B83" s="8" t="s">
        <v>991</v>
      </c>
      <c r="C83" s="8" t="s">
        <v>992</v>
      </c>
    </row>
    <row r="84" customFormat="false" ht="15" hidden="false" customHeight="false" outlineLevel="0" collapsed="false">
      <c r="A84" s="14" t="s">
        <v>75</v>
      </c>
      <c r="B84" s="14" t="s">
        <v>958</v>
      </c>
      <c r="C84" s="14" t="s">
        <v>959</v>
      </c>
    </row>
    <row r="85" customFormat="false" ht="15" hidden="false" customHeight="false" outlineLevel="0" collapsed="false">
      <c r="A85" s="8" t="s">
        <v>75</v>
      </c>
      <c r="B85" s="8" t="s">
        <v>960</v>
      </c>
      <c r="C85" s="8" t="s">
        <v>993</v>
      </c>
    </row>
    <row r="86" customFormat="false" ht="15" hidden="false" customHeight="false" outlineLevel="0" collapsed="false">
      <c r="A86" s="14" t="s">
        <v>75</v>
      </c>
      <c r="B86" s="14" t="s">
        <v>994</v>
      </c>
      <c r="C86" s="14" t="s">
        <v>995</v>
      </c>
    </row>
    <row r="87" customFormat="false" ht="15" hidden="false" customHeight="false" outlineLevel="0" collapsed="false">
      <c r="A87" s="8" t="s">
        <v>75</v>
      </c>
      <c r="B87" s="8" t="s">
        <v>962</v>
      </c>
      <c r="C87" s="8" t="s">
        <v>95</v>
      </c>
    </row>
    <row r="88" customFormat="false" ht="15" hidden="false" customHeight="false" outlineLevel="0" collapsed="false">
      <c r="A88" s="14" t="s">
        <v>75</v>
      </c>
      <c r="B88" s="14" t="s">
        <v>996</v>
      </c>
      <c r="C88" s="14" t="s">
        <v>997</v>
      </c>
    </row>
    <row r="89" customFormat="false" ht="15" hidden="false" customHeight="false" outlineLevel="0" collapsed="false">
      <c r="A89" s="8" t="s">
        <v>75</v>
      </c>
      <c r="B89" s="8" t="s">
        <v>998</v>
      </c>
      <c r="C89" s="8" t="s">
        <v>999</v>
      </c>
    </row>
    <row r="90" customFormat="false" ht="15" hidden="false" customHeight="false" outlineLevel="0" collapsed="false">
      <c r="A90" s="14" t="s">
        <v>75</v>
      </c>
      <c r="B90" s="14" t="s">
        <v>966</v>
      </c>
      <c r="C90" s="14" t="s">
        <v>1000</v>
      </c>
    </row>
    <row r="91" customFormat="false" ht="15" hidden="false" customHeight="false" outlineLevel="0" collapsed="false">
      <c r="A91" s="8" t="s">
        <v>75</v>
      </c>
      <c r="B91" s="8" t="s">
        <v>921</v>
      </c>
      <c r="C91" s="8" t="s">
        <v>1001</v>
      </c>
    </row>
    <row r="92" customFormat="false" ht="15" hidden="false" customHeight="false" outlineLevel="0" collapsed="false">
      <c r="A92" s="14" t="s">
        <v>75</v>
      </c>
      <c r="B92" s="14" t="s">
        <v>923</v>
      </c>
      <c r="C92" s="14" t="s">
        <v>1002</v>
      </c>
    </row>
    <row r="93" customFormat="false" ht="15" hidden="false" customHeight="false" outlineLevel="0" collapsed="false">
      <c r="A93" s="8" t="s">
        <v>75</v>
      </c>
      <c r="B93" s="8" t="s">
        <v>970</v>
      </c>
      <c r="C93" s="8" t="s">
        <v>76</v>
      </c>
    </row>
    <row r="94" customFormat="false" ht="15" hidden="false" customHeight="false" outlineLevel="0" collapsed="false">
      <c r="A94" s="14" t="s">
        <v>77</v>
      </c>
      <c r="B94" s="14" t="s">
        <v>890</v>
      </c>
      <c r="C94" s="14" t="s">
        <v>885</v>
      </c>
    </row>
    <row r="95" customFormat="false" ht="15" hidden="false" customHeight="false" outlineLevel="0" collapsed="false">
      <c r="A95" s="8" t="s">
        <v>77</v>
      </c>
      <c r="B95" s="8" t="s">
        <v>891</v>
      </c>
      <c r="C95" s="8" t="s">
        <v>892</v>
      </c>
    </row>
    <row r="96" customFormat="false" ht="15" hidden="false" customHeight="false" outlineLevel="0" collapsed="false">
      <c r="A96" s="14" t="s">
        <v>77</v>
      </c>
      <c r="B96" s="14" t="s">
        <v>709</v>
      </c>
      <c r="C96" s="14" t="s">
        <v>893</v>
      </c>
    </row>
    <row r="97" customFormat="false" ht="15" hidden="false" customHeight="false" outlineLevel="0" collapsed="false">
      <c r="A97" s="8" t="s">
        <v>77</v>
      </c>
      <c r="B97" s="8" t="s">
        <v>926</v>
      </c>
      <c r="C97" s="8" t="s">
        <v>927</v>
      </c>
    </row>
    <row r="98" customFormat="false" ht="15" hidden="false" customHeight="false" outlineLevel="0" collapsed="false">
      <c r="A98" s="14" t="s">
        <v>77</v>
      </c>
      <c r="B98" s="14" t="s">
        <v>971</v>
      </c>
      <c r="C98" s="14" t="s">
        <v>972</v>
      </c>
    </row>
    <row r="99" customFormat="false" ht="15" hidden="false" customHeight="false" outlineLevel="0" collapsed="false">
      <c r="A99" s="8" t="s">
        <v>77</v>
      </c>
      <c r="B99" s="8" t="s">
        <v>896</v>
      </c>
      <c r="C99" s="8" t="s">
        <v>897</v>
      </c>
    </row>
    <row r="100" customFormat="false" ht="15" hidden="false" customHeight="false" outlineLevel="0" collapsed="false">
      <c r="A100" s="14" t="s">
        <v>77</v>
      </c>
      <c r="B100" s="14" t="s">
        <v>898</v>
      </c>
      <c r="C100" s="14" t="s">
        <v>899</v>
      </c>
    </row>
    <row r="101" customFormat="false" ht="15" hidden="false" customHeight="false" outlineLevel="0" collapsed="false">
      <c r="A101" s="8" t="s">
        <v>77</v>
      </c>
      <c r="B101" s="8" t="s">
        <v>900</v>
      </c>
      <c r="C101" s="8" t="s">
        <v>899</v>
      </c>
    </row>
    <row r="102" customFormat="false" ht="15" hidden="false" customHeight="false" outlineLevel="0" collapsed="false">
      <c r="A102" s="14" t="s">
        <v>77</v>
      </c>
      <c r="B102" s="14" t="s">
        <v>901</v>
      </c>
      <c r="C102" s="14" t="s">
        <v>972</v>
      </c>
    </row>
    <row r="103" customFormat="false" ht="15" hidden="false" customHeight="false" outlineLevel="0" collapsed="false">
      <c r="A103" s="8" t="s">
        <v>77</v>
      </c>
      <c r="B103" s="8" t="s">
        <v>974</v>
      </c>
      <c r="C103" s="8" t="s">
        <v>1003</v>
      </c>
    </row>
    <row r="104" customFormat="false" ht="15" hidden="false" customHeight="false" outlineLevel="0" collapsed="false">
      <c r="A104" s="14" t="s">
        <v>77</v>
      </c>
      <c r="B104" s="14" t="s">
        <v>930</v>
      </c>
      <c r="C104" s="14" t="s">
        <v>976</v>
      </c>
    </row>
    <row r="105" customFormat="false" ht="15" hidden="false" customHeight="false" outlineLevel="0" collapsed="false">
      <c r="A105" s="8" t="s">
        <v>77</v>
      </c>
      <c r="B105" s="8" t="s">
        <v>977</v>
      </c>
      <c r="C105" s="8" t="s">
        <v>978</v>
      </c>
    </row>
    <row r="106" customFormat="false" ht="15" hidden="false" customHeight="false" outlineLevel="0" collapsed="false">
      <c r="A106" s="14" t="s">
        <v>77</v>
      </c>
      <c r="B106" s="14" t="s">
        <v>943</v>
      </c>
      <c r="C106" s="14" t="s">
        <v>957</v>
      </c>
    </row>
    <row r="107" customFormat="false" ht="15" hidden="false" customHeight="false" outlineLevel="0" collapsed="false">
      <c r="A107" s="8" t="s">
        <v>77</v>
      </c>
      <c r="B107" s="8" t="s">
        <v>979</v>
      </c>
      <c r="C107" s="8" t="s">
        <v>980</v>
      </c>
    </row>
    <row r="108" customFormat="false" ht="15" hidden="false" customHeight="false" outlineLevel="0" collapsed="false">
      <c r="A108" s="14" t="s">
        <v>77</v>
      </c>
      <c r="B108" s="14" t="s">
        <v>981</v>
      </c>
      <c r="C108" s="14" t="s">
        <v>899</v>
      </c>
    </row>
    <row r="109" customFormat="false" ht="15" hidden="false" customHeight="false" outlineLevel="0" collapsed="false">
      <c r="A109" s="8" t="s">
        <v>77</v>
      </c>
      <c r="B109" s="8" t="s">
        <v>946</v>
      </c>
      <c r="C109" s="8" t="s">
        <v>947</v>
      </c>
    </row>
    <row r="110" customFormat="false" ht="15" hidden="false" customHeight="false" outlineLevel="0" collapsed="false">
      <c r="A110" s="14" t="s">
        <v>77</v>
      </c>
      <c r="B110" s="14" t="s">
        <v>948</v>
      </c>
      <c r="C110" s="14" t="s">
        <v>982</v>
      </c>
    </row>
    <row r="111" customFormat="false" ht="15" hidden="false" customHeight="false" outlineLevel="0" collapsed="false">
      <c r="A111" s="8" t="s">
        <v>77</v>
      </c>
      <c r="B111" s="8" t="s">
        <v>983</v>
      </c>
      <c r="C111" s="8" t="s">
        <v>984</v>
      </c>
    </row>
    <row r="112" customFormat="false" ht="15" hidden="false" customHeight="false" outlineLevel="0" collapsed="false">
      <c r="A112" s="14" t="s">
        <v>77</v>
      </c>
      <c r="B112" s="14" t="s">
        <v>950</v>
      </c>
      <c r="C112" s="14" t="s">
        <v>1004</v>
      </c>
    </row>
    <row r="113" customFormat="false" ht="15" hidden="false" customHeight="false" outlineLevel="0" collapsed="false">
      <c r="A113" s="8" t="s">
        <v>77</v>
      </c>
      <c r="B113" s="8" t="s">
        <v>986</v>
      </c>
      <c r="C113" s="8" t="s">
        <v>987</v>
      </c>
    </row>
    <row r="114" customFormat="false" ht="15" hidden="false" customHeight="false" outlineLevel="0" collapsed="false">
      <c r="A114" s="14" t="s">
        <v>77</v>
      </c>
      <c r="B114" s="14" t="s">
        <v>988</v>
      </c>
      <c r="C114" s="14" t="s">
        <v>908</v>
      </c>
    </row>
    <row r="115" customFormat="false" ht="15" hidden="false" customHeight="false" outlineLevel="0" collapsed="false">
      <c r="A115" s="8" t="s">
        <v>77</v>
      </c>
      <c r="B115" s="8" t="s">
        <v>952</v>
      </c>
      <c r="C115" s="8" t="s">
        <v>989</v>
      </c>
    </row>
    <row r="116" customFormat="false" ht="15" hidden="false" customHeight="false" outlineLevel="0" collapsed="false">
      <c r="A116" s="14" t="s">
        <v>77</v>
      </c>
      <c r="B116" s="14" t="s">
        <v>954</v>
      </c>
      <c r="C116" s="14" t="s">
        <v>990</v>
      </c>
    </row>
    <row r="117" customFormat="false" ht="15" hidden="false" customHeight="false" outlineLevel="0" collapsed="false">
      <c r="A117" s="8" t="s">
        <v>77</v>
      </c>
      <c r="B117" s="8" t="s">
        <v>956</v>
      </c>
      <c r="C117" s="8" t="s">
        <v>957</v>
      </c>
    </row>
    <row r="118" customFormat="false" ht="15" hidden="false" customHeight="false" outlineLevel="0" collapsed="false">
      <c r="A118" s="14" t="s">
        <v>77</v>
      </c>
      <c r="B118" s="14" t="s">
        <v>991</v>
      </c>
      <c r="C118" s="14" t="s">
        <v>992</v>
      </c>
    </row>
    <row r="119" customFormat="false" ht="15" hidden="false" customHeight="false" outlineLevel="0" collapsed="false">
      <c r="A119" s="8" t="s">
        <v>77</v>
      </c>
      <c r="B119" s="8" t="s">
        <v>958</v>
      </c>
      <c r="C119" s="8" t="s">
        <v>959</v>
      </c>
    </row>
    <row r="120" customFormat="false" ht="15" hidden="false" customHeight="false" outlineLevel="0" collapsed="false">
      <c r="A120" s="14" t="s">
        <v>77</v>
      </c>
      <c r="B120" s="14" t="s">
        <v>960</v>
      </c>
      <c r="C120" s="14" t="s">
        <v>993</v>
      </c>
    </row>
    <row r="121" customFormat="false" ht="15" hidden="false" customHeight="false" outlineLevel="0" collapsed="false">
      <c r="A121" s="8" t="s">
        <v>77</v>
      </c>
      <c r="B121" s="8" t="s">
        <v>994</v>
      </c>
      <c r="C121" s="8" t="s">
        <v>995</v>
      </c>
    </row>
    <row r="122" customFormat="false" ht="15" hidden="false" customHeight="false" outlineLevel="0" collapsed="false">
      <c r="A122" s="14" t="s">
        <v>77</v>
      </c>
      <c r="B122" s="14" t="s">
        <v>962</v>
      </c>
      <c r="C122" s="14" t="s">
        <v>95</v>
      </c>
    </row>
    <row r="123" customFormat="false" ht="15" hidden="false" customHeight="false" outlineLevel="0" collapsed="false">
      <c r="A123" s="8" t="s">
        <v>77</v>
      </c>
      <c r="B123" s="8" t="s">
        <v>996</v>
      </c>
      <c r="C123" s="8" t="s">
        <v>1005</v>
      </c>
    </row>
    <row r="124" customFormat="false" ht="15" hidden="false" customHeight="false" outlineLevel="0" collapsed="false">
      <c r="A124" s="14" t="s">
        <v>77</v>
      </c>
      <c r="B124" s="14" t="s">
        <v>998</v>
      </c>
      <c r="C124" s="14" t="s">
        <v>1006</v>
      </c>
    </row>
    <row r="125" customFormat="false" ht="15" hidden="false" customHeight="false" outlineLevel="0" collapsed="false">
      <c r="A125" s="8" t="s">
        <v>77</v>
      </c>
      <c r="B125" s="8" t="s">
        <v>966</v>
      </c>
      <c r="C125" s="8" t="s">
        <v>1000</v>
      </c>
    </row>
    <row r="126" customFormat="false" ht="15" hidden="false" customHeight="false" outlineLevel="0" collapsed="false">
      <c r="A126" s="14" t="s">
        <v>77</v>
      </c>
      <c r="B126" s="14" t="s">
        <v>921</v>
      </c>
      <c r="C126" s="14" t="s">
        <v>1007</v>
      </c>
    </row>
    <row r="127" customFormat="false" ht="15" hidden="false" customHeight="false" outlineLevel="0" collapsed="false">
      <c r="A127" s="8" t="s">
        <v>77</v>
      </c>
      <c r="B127" s="8" t="s">
        <v>923</v>
      </c>
      <c r="C127" s="8" t="s">
        <v>1008</v>
      </c>
    </row>
    <row r="128" customFormat="false" ht="15" hidden="false" customHeight="false" outlineLevel="0" collapsed="false">
      <c r="A128" s="14" t="s">
        <v>77</v>
      </c>
      <c r="B128" s="14" t="s">
        <v>970</v>
      </c>
      <c r="C128" s="14" t="s">
        <v>76</v>
      </c>
    </row>
    <row r="129" customFormat="false" ht="15" hidden="false" customHeight="false" outlineLevel="0" collapsed="false">
      <c r="A129" s="8" t="s">
        <v>78</v>
      </c>
      <c r="B129" s="8" t="s">
        <v>890</v>
      </c>
      <c r="C129" s="8" t="s">
        <v>883</v>
      </c>
    </row>
    <row r="130" customFormat="false" ht="15" hidden="false" customHeight="false" outlineLevel="0" collapsed="false">
      <c r="A130" s="14" t="s">
        <v>78</v>
      </c>
      <c r="B130" s="14" t="s">
        <v>891</v>
      </c>
      <c r="C130" s="14" t="s">
        <v>892</v>
      </c>
    </row>
    <row r="131" customFormat="false" ht="15" hidden="false" customHeight="false" outlineLevel="0" collapsed="false">
      <c r="A131" s="8" t="s">
        <v>78</v>
      </c>
      <c r="B131" s="8" t="s">
        <v>709</v>
      </c>
      <c r="C131" s="8" t="s">
        <v>893</v>
      </c>
    </row>
    <row r="132" customFormat="false" ht="15" hidden="false" customHeight="false" outlineLevel="0" collapsed="false">
      <c r="A132" s="14" t="s">
        <v>78</v>
      </c>
      <c r="B132" s="14" t="s">
        <v>926</v>
      </c>
      <c r="C132" s="14" t="s">
        <v>927</v>
      </c>
    </row>
    <row r="133" customFormat="false" ht="15" hidden="false" customHeight="false" outlineLevel="0" collapsed="false">
      <c r="A133" s="8" t="s">
        <v>78</v>
      </c>
      <c r="B133" s="8" t="s">
        <v>971</v>
      </c>
      <c r="C133" s="8" t="s">
        <v>972</v>
      </c>
    </row>
    <row r="134" customFormat="false" ht="15" hidden="false" customHeight="false" outlineLevel="0" collapsed="false">
      <c r="A134" s="14" t="s">
        <v>78</v>
      </c>
      <c r="B134" s="14" t="s">
        <v>896</v>
      </c>
      <c r="C134" s="14" t="s">
        <v>897</v>
      </c>
    </row>
    <row r="135" customFormat="false" ht="15" hidden="false" customHeight="false" outlineLevel="0" collapsed="false">
      <c r="A135" s="8" t="s">
        <v>78</v>
      </c>
      <c r="B135" s="8" t="s">
        <v>898</v>
      </c>
      <c r="C135" s="8" t="s">
        <v>899</v>
      </c>
    </row>
    <row r="136" customFormat="false" ht="15" hidden="false" customHeight="false" outlineLevel="0" collapsed="false">
      <c r="A136" s="14" t="s">
        <v>78</v>
      </c>
      <c r="B136" s="14" t="s">
        <v>900</v>
      </c>
      <c r="C136" s="14" t="s">
        <v>899</v>
      </c>
    </row>
    <row r="137" customFormat="false" ht="15" hidden="false" customHeight="false" outlineLevel="0" collapsed="false">
      <c r="A137" s="8" t="s">
        <v>78</v>
      </c>
      <c r="B137" s="8" t="s">
        <v>901</v>
      </c>
      <c r="C137" s="8" t="s">
        <v>972</v>
      </c>
    </row>
    <row r="138" customFormat="false" ht="15" hidden="false" customHeight="false" outlineLevel="0" collapsed="false">
      <c r="A138" s="14" t="s">
        <v>78</v>
      </c>
      <c r="B138" s="14" t="s">
        <v>974</v>
      </c>
      <c r="C138" s="14" t="s">
        <v>1009</v>
      </c>
    </row>
    <row r="139" customFormat="false" ht="15" hidden="false" customHeight="false" outlineLevel="0" collapsed="false">
      <c r="A139" s="8" t="s">
        <v>78</v>
      </c>
      <c r="B139" s="8" t="s">
        <v>930</v>
      </c>
      <c r="C139" s="8" t="s">
        <v>976</v>
      </c>
    </row>
    <row r="140" customFormat="false" ht="15" hidden="false" customHeight="false" outlineLevel="0" collapsed="false">
      <c r="A140" s="14" t="s">
        <v>78</v>
      </c>
      <c r="B140" s="14" t="s">
        <v>977</v>
      </c>
      <c r="C140" s="14" t="s">
        <v>978</v>
      </c>
    </row>
    <row r="141" customFormat="false" ht="15" hidden="false" customHeight="false" outlineLevel="0" collapsed="false">
      <c r="A141" s="8" t="s">
        <v>78</v>
      </c>
      <c r="B141" s="8" t="s">
        <v>943</v>
      </c>
      <c r="C141" s="8" t="s">
        <v>957</v>
      </c>
    </row>
    <row r="142" customFormat="false" ht="15" hidden="false" customHeight="false" outlineLevel="0" collapsed="false">
      <c r="A142" s="14" t="s">
        <v>78</v>
      </c>
      <c r="B142" s="14" t="s">
        <v>979</v>
      </c>
      <c r="C142" s="14" t="s">
        <v>980</v>
      </c>
    </row>
    <row r="143" customFormat="false" ht="15" hidden="false" customHeight="false" outlineLevel="0" collapsed="false">
      <c r="A143" s="8" t="s">
        <v>78</v>
      </c>
      <c r="B143" s="8" t="s">
        <v>981</v>
      </c>
      <c r="C143" s="8" t="s">
        <v>899</v>
      </c>
    </row>
    <row r="144" customFormat="false" ht="15" hidden="false" customHeight="false" outlineLevel="0" collapsed="false">
      <c r="A144" s="14" t="s">
        <v>78</v>
      </c>
      <c r="B144" s="14" t="s">
        <v>946</v>
      </c>
      <c r="C144" s="14" t="s">
        <v>947</v>
      </c>
    </row>
    <row r="145" customFormat="false" ht="15" hidden="false" customHeight="false" outlineLevel="0" collapsed="false">
      <c r="A145" s="8" t="s">
        <v>78</v>
      </c>
      <c r="B145" s="8" t="s">
        <v>948</v>
      </c>
      <c r="C145" s="8" t="s">
        <v>982</v>
      </c>
    </row>
    <row r="146" customFormat="false" ht="15" hidden="false" customHeight="false" outlineLevel="0" collapsed="false">
      <c r="A146" s="14" t="s">
        <v>78</v>
      </c>
      <c r="B146" s="14" t="s">
        <v>983</v>
      </c>
      <c r="C146" s="14" t="s">
        <v>984</v>
      </c>
    </row>
    <row r="147" customFormat="false" ht="15" hidden="false" customHeight="false" outlineLevel="0" collapsed="false">
      <c r="A147" s="8" t="s">
        <v>78</v>
      </c>
      <c r="B147" s="8" t="s">
        <v>950</v>
      </c>
      <c r="C147" s="8" t="s">
        <v>1010</v>
      </c>
    </row>
    <row r="148" customFormat="false" ht="15" hidden="false" customHeight="false" outlineLevel="0" collapsed="false">
      <c r="A148" s="14" t="s">
        <v>78</v>
      </c>
      <c r="B148" s="14" t="s">
        <v>986</v>
      </c>
      <c r="C148" s="14" t="s">
        <v>987</v>
      </c>
    </row>
    <row r="149" customFormat="false" ht="15" hidden="false" customHeight="false" outlineLevel="0" collapsed="false">
      <c r="A149" s="8" t="s">
        <v>78</v>
      </c>
      <c r="B149" s="8" t="s">
        <v>988</v>
      </c>
      <c r="C149" s="8" t="s">
        <v>908</v>
      </c>
    </row>
    <row r="150" customFormat="false" ht="15" hidden="false" customHeight="false" outlineLevel="0" collapsed="false">
      <c r="A150" s="14" t="s">
        <v>78</v>
      </c>
      <c r="B150" s="14" t="s">
        <v>952</v>
      </c>
      <c r="C150" s="14" t="s">
        <v>989</v>
      </c>
    </row>
    <row r="151" customFormat="false" ht="15" hidden="false" customHeight="false" outlineLevel="0" collapsed="false">
      <c r="A151" s="8" t="s">
        <v>78</v>
      </c>
      <c r="B151" s="8" t="s">
        <v>954</v>
      </c>
      <c r="C151" s="8" t="s">
        <v>990</v>
      </c>
    </row>
    <row r="152" customFormat="false" ht="15" hidden="false" customHeight="false" outlineLevel="0" collapsed="false">
      <c r="A152" s="14" t="s">
        <v>78</v>
      </c>
      <c r="B152" s="14" t="s">
        <v>956</v>
      </c>
      <c r="C152" s="14" t="s">
        <v>957</v>
      </c>
    </row>
    <row r="153" customFormat="false" ht="15" hidden="false" customHeight="false" outlineLevel="0" collapsed="false">
      <c r="A153" s="8" t="s">
        <v>78</v>
      </c>
      <c r="B153" s="8" t="s">
        <v>991</v>
      </c>
      <c r="C153" s="8" t="s">
        <v>992</v>
      </c>
    </row>
    <row r="154" customFormat="false" ht="15" hidden="false" customHeight="false" outlineLevel="0" collapsed="false">
      <c r="A154" s="14" t="s">
        <v>78</v>
      </c>
      <c r="B154" s="14" t="s">
        <v>958</v>
      </c>
      <c r="C154" s="14" t="s">
        <v>959</v>
      </c>
    </row>
    <row r="155" customFormat="false" ht="15" hidden="false" customHeight="false" outlineLevel="0" collapsed="false">
      <c r="A155" s="8" t="s">
        <v>78</v>
      </c>
      <c r="B155" s="8" t="s">
        <v>960</v>
      </c>
      <c r="C155" s="8" t="s">
        <v>993</v>
      </c>
    </row>
    <row r="156" customFormat="false" ht="15" hidden="false" customHeight="false" outlineLevel="0" collapsed="false">
      <c r="A156" s="14" t="s">
        <v>78</v>
      </c>
      <c r="B156" s="14" t="s">
        <v>994</v>
      </c>
      <c r="C156" s="14" t="s">
        <v>995</v>
      </c>
    </row>
    <row r="157" customFormat="false" ht="15" hidden="false" customHeight="false" outlineLevel="0" collapsed="false">
      <c r="A157" s="8" t="s">
        <v>78</v>
      </c>
      <c r="B157" s="8" t="s">
        <v>962</v>
      </c>
      <c r="C157" s="8" t="s">
        <v>95</v>
      </c>
    </row>
    <row r="158" customFormat="false" ht="15" hidden="false" customHeight="false" outlineLevel="0" collapsed="false">
      <c r="A158" s="14" t="s">
        <v>78</v>
      </c>
      <c r="B158" s="14" t="s">
        <v>996</v>
      </c>
      <c r="C158" s="14" t="s">
        <v>1005</v>
      </c>
    </row>
    <row r="159" customFormat="false" ht="15" hidden="false" customHeight="false" outlineLevel="0" collapsed="false">
      <c r="A159" s="8" t="s">
        <v>78</v>
      </c>
      <c r="B159" s="8" t="s">
        <v>998</v>
      </c>
      <c r="C159" s="8" t="s">
        <v>1006</v>
      </c>
    </row>
    <row r="160" customFormat="false" ht="15" hidden="false" customHeight="false" outlineLevel="0" collapsed="false">
      <c r="A160" s="14" t="s">
        <v>78</v>
      </c>
      <c r="B160" s="14" t="s">
        <v>966</v>
      </c>
      <c r="C160" s="14" t="s">
        <v>1011</v>
      </c>
    </row>
    <row r="161" customFormat="false" ht="15" hidden="false" customHeight="false" outlineLevel="0" collapsed="false">
      <c r="A161" s="8" t="s">
        <v>78</v>
      </c>
      <c r="B161" s="8" t="s">
        <v>921</v>
      </c>
      <c r="C161" s="8" t="s">
        <v>1007</v>
      </c>
    </row>
    <row r="162" customFormat="false" ht="15" hidden="false" customHeight="false" outlineLevel="0" collapsed="false">
      <c r="A162" s="14" t="s">
        <v>78</v>
      </c>
      <c r="B162" s="14" t="s">
        <v>923</v>
      </c>
      <c r="C162" s="14" t="s">
        <v>1012</v>
      </c>
    </row>
    <row r="163" customFormat="false" ht="15" hidden="false" customHeight="false" outlineLevel="0" collapsed="false">
      <c r="A163" s="8" t="s">
        <v>78</v>
      </c>
      <c r="B163" s="8" t="s">
        <v>970</v>
      </c>
      <c r="C163" s="8" t="s">
        <v>76</v>
      </c>
    </row>
  </sheetData>
  <autoFilter ref="A4:C1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</cols>
  <sheetData>
    <row r="1" customFormat="false" ht="17.35" hidden="false" customHeight="false" outlineLevel="0" collapsed="false">
      <c r="A1" s="1" t="s">
        <v>1013</v>
      </c>
    </row>
    <row r="2" customFormat="false" ht="15" hidden="false" customHeight="false" outlineLevel="0" collapsed="false">
      <c r="A2" s="2" t="s">
        <v>1014</v>
      </c>
    </row>
    <row r="4" customFormat="false" ht="15" hidden="false" customHeight="false" outlineLevel="0" collapsed="false">
      <c r="A4" s="43" t="s">
        <v>1015</v>
      </c>
    </row>
    <row r="5" customFormat="false" ht="15" hidden="false" customHeight="false" outlineLevel="0" collapsed="false">
      <c r="A5" s="6" t="s">
        <v>675</v>
      </c>
      <c r="B5" s="6" t="s">
        <v>676</v>
      </c>
    </row>
    <row r="6" customFormat="false" ht="15" hidden="false" customHeight="false" outlineLevel="0" collapsed="false">
      <c r="A6" s="8" t="s">
        <v>1016</v>
      </c>
      <c r="B6" s="8" t="s">
        <v>1017</v>
      </c>
    </row>
    <row r="7" customFormat="false" ht="15" hidden="false" customHeight="false" outlineLevel="0" collapsed="false">
      <c r="A7" s="14" t="s">
        <v>1018</v>
      </c>
      <c r="B7" s="14" t="s">
        <v>1019</v>
      </c>
    </row>
    <row r="8" customFormat="false" ht="15" hidden="false" customHeight="false" outlineLevel="0" collapsed="false">
      <c r="A8" s="8" t="s">
        <v>1020</v>
      </c>
      <c r="B8" s="8" t="s">
        <v>1021</v>
      </c>
    </row>
    <row r="9" customFormat="false" ht="15" hidden="false" customHeight="false" outlineLevel="0" collapsed="false">
      <c r="A9" s="14" t="s">
        <v>1022</v>
      </c>
      <c r="B9" s="14" t="s">
        <v>1023</v>
      </c>
    </row>
    <row r="10" customFormat="false" ht="15" hidden="false" customHeight="false" outlineLevel="0" collapsed="false">
      <c r="A10" s="8" t="s">
        <v>1024</v>
      </c>
      <c r="B10" s="8" t="s">
        <v>990</v>
      </c>
    </row>
    <row r="11" customFormat="false" ht="15" hidden="false" customHeight="false" outlineLevel="0" collapsed="false">
      <c r="A11" s="14" t="s">
        <v>1025</v>
      </c>
      <c r="B11" s="14" t="s">
        <v>972</v>
      </c>
    </row>
    <row r="12" customFormat="false" ht="15" hidden="false" customHeight="false" outlineLevel="0" collapsed="false">
      <c r="A12" s="8" t="s">
        <v>1026</v>
      </c>
      <c r="B12" s="8" t="s">
        <v>1027</v>
      </c>
    </row>
    <row r="13" customFormat="false" ht="15" hidden="false" customHeight="false" outlineLevel="0" collapsed="false">
      <c r="A13" s="14" t="s">
        <v>1028</v>
      </c>
      <c r="B13" s="14" t="s">
        <v>1029</v>
      </c>
    </row>
    <row r="14" customFormat="false" ht="15" hidden="false" customHeight="false" outlineLevel="0" collapsed="false">
      <c r="A14" s="8" t="s">
        <v>1030</v>
      </c>
      <c r="B14" s="8" t="s">
        <v>1031</v>
      </c>
    </row>
    <row r="15" customFormat="false" ht="15" hidden="false" customHeight="false" outlineLevel="0" collapsed="false">
      <c r="A15" s="14" t="s">
        <v>1032</v>
      </c>
      <c r="B15" s="14" t="s">
        <v>1033</v>
      </c>
    </row>
    <row r="16" customFormat="false" ht="15" hidden="false" customHeight="false" outlineLevel="0" collapsed="false">
      <c r="A16" s="8" t="s">
        <v>1034</v>
      </c>
      <c r="B16" s="8" t="s">
        <v>1035</v>
      </c>
    </row>
    <row r="17" customFormat="false" ht="15" hidden="false" customHeight="false" outlineLevel="0" collapsed="false">
      <c r="A17" s="14" t="s">
        <v>1036</v>
      </c>
      <c r="B17" s="14" t="s">
        <v>1037</v>
      </c>
    </row>
    <row r="18" customFormat="false" ht="15" hidden="false" customHeight="false" outlineLevel="0" collapsed="false">
      <c r="A18" s="8" t="s">
        <v>1038</v>
      </c>
      <c r="B18" s="8" t="s">
        <v>1039</v>
      </c>
    </row>
    <row r="19" customFormat="false" ht="15" hidden="false" customHeight="false" outlineLevel="0" collapsed="false">
      <c r="A19" s="14" t="s">
        <v>1040</v>
      </c>
      <c r="B19" s="14" t="s">
        <v>1041</v>
      </c>
    </row>
    <row r="20" customFormat="false" ht="15" hidden="false" customHeight="false" outlineLevel="0" collapsed="false">
      <c r="A20" s="8" t="s">
        <v>1042</v>
      </c>
      <c r="B20" s="8" t="s">
        <v>1043</v>
      </c>
    </row>
    <row r="21" customFormat="false" ht="15" hidden="false" customHeight="false" outlineLevel="0" collapsed="false">
      <c r="A21" s="14" t="s">
        <v>1044</v>
      </c>
      <c r="B21" s="14" t="s">
        <v>972</v>
      </c>
    </row>
    <row r="22" customFormat="false" ht="15" hidden="false" customHeight="false" outlineLevel="0" collapsed="false">
      <c r="A22" s="8" t="s">
        <v>1045</v>
      </c>
      <c r="B22" s="8" t="s">
        <v>899</v>
      </c>
    </row>
    <row r="24" customFormat="false" ht="15" hidden="false" customHeight="false" outlineLevel="0" collapsed="false">
      <c r="A24" s="43" t="s">
        <v>1046</v>
      </c>
    </row>
    <row r="25" customFormat="false" ht="15" hidden="false" customHeight="false" outlineLevel="0" collapsed="false">
      <c r="A25" s="6" t="s">
        <v>1047</v>
      </c>
      <c r="B25" s="6" t="s">
        <v>1048</v>
      </c>
    </row>
    <row r="26" customFormat="false" ht="15" hidden="false" customHeight="false" outlineLevel="0" collapsed="false">
      <c r="A26" s="8" t="s">
        <v>975</v>
      </c>
      <c r="B26" s="8" t="s">
        <v>1049</v>
      </c>
    </row>
    <row r="27" customFormat="false" ht="15" hidden="false" customHeight="false" outlineLevel="0" collapsed="false">
      <c r="A27" s="14" t="s">
        <v>1003</v>
      </c>
      <c r="B27" s="14" t="s">
        <v>1050</v>
      </c>
    </row>
    <row r="28" customFormat="false" ht="15" hidden="false" customHeight="false" outlineLevel="0" collapsed="false">
      <c r="A28" s="8" t="s">
        <v>1009</v>
      </c>
      <c r="B28" s="8" t="s">
        <v>1051</v>
      </c>
    </row>
    <row r="29" customFormat="false" ht="15" hidden="false" customHeight="false" outlineLevel="0" collapsed="false">
      <c r="A29" s="14" t="s">
        <v>1052</v>
      </c>
      <c r="B29" s="14" t="s">
        <v>1053</v>
      </c>
    </row>
    <row r="30" customFormat="false" ht="15" hidden="false" customHeight="false" outlineLevel="0" collapsed="false">
      <c r="A30" s="8" t="s">
        <v>1054</v>
      </c>
      <c r="B30" s="8" t="s">
        <v>1055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2026-09-29T07:34:30Z</dcterms:created>
  <dc:creator>openpyxl</dc:creator>
  <dc:description/>
  <dc:language>en-US</dc:language>
  <cp:lastModifiedBy/>
  <dcterms:modified xsi:type="dcterms:W3CDTF">2026-09-29T07:34:30Z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